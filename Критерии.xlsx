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asl\OneDrive\Desktop\vending-system\"/>
    </mc:Choice>
  </mc:AlternateContent>
  <xr:revisionPtr revIDLastSave="0" documentId="13_ncr:1_{3DB6B770-65CE-46F0-A2EE-BEE8739BE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9" i="1" l="1"/>
  <c r="F225" i="1"/>
  <c r="F262" i="1"/>
  <c r="F244" i="1" s="1"/>
  <c r="F231" i="1" s="1"/>
  <c r="F203" i="1"/>
  <c r="F170" i="1"/>
  <c r="F152" i="1"/>
  <c r="F143" i="1"/>
  <c r="F132" i="1"/>
  <c r="F121" i="1"/>
  <c r="F102" i="1"/>
  <c r="F79" i="1"/>
  <c r="F56" i="1"/>
  <c r="F7" i="1"/>
  <c r="F13" i="1"/>
  <c r="F20" i="1"/>
  <c r="F26" i="1"/>
  <c r="F220" i="1" l="1"/>
  <c r="F6" i="1"/>
  <c r="F269" i="1" l="1"/>
</calcChain>
</file>

<file path=xl/sharedStrings.xml><?xml version="1.0" encoding="utf-8"?>
<sst xmlns="http://schemas.openxmlformats.org/spreadsheetml/2006/main" count="382" uniqueCount="361">
  <si>
    <t>Мероприятие</t>
  </si>
  <si>
    <t>Наименование компетенции</t>
  </si>
  <si>
    <t>Программные решения для бизнеса</t>
  </si>
  <si>
    <t>Код</t>
  </si>
  <si>
    <t>Субкритерий</t>
  </si>
  <si>
    <t>Аспект</t>
  </si>
  <si>
    <t>Методика проверки аспекта</t>
  </si>
  <si>
    <t>Требование или номинальный размер</t>
  </si>
  <si>
    <t>Макс. балл</t>
  </si>
  <si>
    <t>А</t>
  </si>
  <si>
    <t>Проектирование программных решений</t>
  </si>
  <si>
    <t>Диаграмма вариантов использования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</si>
  <si>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</si>
  <si>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</si>
  <si>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</si>
  <si>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</si>
  <si>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</si>
  <si>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</si>
  <si>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</si>
  <si>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</si>
  <si>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</si>
  <si>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</si>
  <si>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 xml:space="preserve">Проектирование  диаграммы деятельности 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</si>
  <si>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</si>
  <si>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</si>
  <si>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</si>
  <si>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</si>
  <si>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</si>
  <si>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</si>
  <si>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</si>
  <si>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</si>
  <si>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</si>
  <si>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Проектирование диаграммы IDEF</t>
  </si>
  <si>
    <t>Корректность определения ключевых функций (блоков)</t>
  </si>
  <si>
    <t>-0.25 балла за каждый пропущенный или ошибочный блок; -0.1 балла за некорректное описание</t>
  </si>
  <si>
    <t>Корректность определения входов, выходов, управляющих воздействий и механизмов</t>
  </si>
  <si>
    <t>-0.25 балла за каждый пропущенный элемент; -0.1 балла за некорректное описание</t>
  </si>
  <si>
    <t>Логичность и корректность взаимосвязей между функциями</t>
  </si>
  <si>
    <t>-0.25 балла за каждую пропущенную или лишнюю связь; -0.1 балла за некорректное направление</t>
  </si>
  <si>
    <t>Корректность декомпозиции первого уровня</t>
  </si>
  <si>
    <t>-0.25 балла за отсутствие декомпозиции; -0.1 балла за некорректную детализацию</t>
  </si>
  <si>
    <t>Соответствие оформления стандарту IDEF0</t>
  </si>
  <si>
    <t>-0.25 балла за нарушение стандартов; -0.1 балла за плохую читаемость</t>
  </si>
  <si>
    <t>Проектирование Wireframe</t>
  </si>
  <si>
    <t>Реализованы календарь и планировщик</t>
  </si>
  <si>
    <t>Реализована UI - возможность  под ролью инженера отмечать время и дату визитов</t>
  </si>
  <si>
    <t>Реализована UI - возможность  добавлять заметки о целях поездки</t>
  </si>
  <si>
    <t xml:space="preserve">Реализованы геолокация </t>
  </si>
  <si>
    <t>Реализованы навигация</t>
  </si>
  <si>
    <t>Реализована UI - возможность  применения картографических приложений</t>
  </si>
  <si>
    <t>Реализованы в UI функции фотографирования и видеосъемки</t>
  </si>
  <si>
    <t>Реализована UI - возможность с помощью камеры смартфона  делать снимки состояния автоматов до и после ремонта, фиксируя выявленные неисправности и успешные результаты</t>
  </si>
  <si>
    <t xml:space="preserve">Реализована UI - возможность  использования приложения для создания заметок </t>
  </si>
  <si>
    <t>Реализована UI - возможность  использования приложения для записи информации о выполненных работах</t>
  </si>
  <si>
    <t>Реализована UI - возможность  использования приложения для записи информации о замене запасных частей</t>
  </si>
  <si>
    <t>Реализована UI - возможность  использования приложения  для записи рекомендаций для клиентов</t>
  </si>
  <si>
    <t>Реализована UI - возможность  заполнения отчетов о проведенных работах прямо на смартфоне с использованием специальных приложений или форм</t>
  </si>
  <si>
    <t>Реализована UI - возможность  запроса клиентских электронных подписей на завершение работ через специальные приложения или PDF-файлы для подтверждения выполненных услуг</t>
  </si>
  <si>
    <t>Реализована UI - возможность  поддержки связи с клиентами и командой через встроенный мессенджер для ускоренного обмена информацией, согласования деталей и решения срочных вопросов</t>
  </si>
  <si>
    <t xml:space="preserve">Реализована UI - возможность использования приложения для управления задачами </t>
  </si>
  <si>
    <t>Реализована UI - возможность  использования приложения для отслеживания статуса выполнения работ</t>
  </si>
  <si>
    <t>Реализована UI - возможность  использования приложения для отслеживания соблюдения сроков</t>
  </si>
  <si>
    <t xml:space="preserve">Реализована UI - возможность  ведения учета доступности запасных частей </t>
  </si>
  <si>
    <t>Реализована UI - возможность  ведения учета необходимых запасных частей</t>
  </si>
  <si>
    <t>Реализована UI - возможность  открытия электронных версий руководств по обслуживанию</t>
  </si>
  <si>
    <t>Реализована UI - возможность  открытия электронных версий руководств по ремонту торговых автоматов</t>
  </si>
  <si>
    <t>Реализована UI - возможность участия в виртуальных курсах или вебинарах по новым технологиям и методам работы с автоматами через приложение</t>
  </si>
  <si>
    <t>Реализована UI - возможность  удаленного мониторинга-использование приложения для проверки статуса  торговых автоматов</t>
  </si>
  <si>
    <t xml:space="preserve">Реализована UI - возможность удаленного мониторинга-использование приложения для проверки работоспособности торговых автоматов </t>
  </si>
  <si>
    <t>Предоставлен файл-исходник и .pdf</t>
  </si>
  <si>
    <t>Единый стиль в оформлении wireframe</t>
  </si>
  <si>
    <t>Реализован последовательный пользовательский интерфейс</t>
  </si>
  <si>
    <t>Б</t>
  </si>
  <si>
    <t>Разработка программных решений</t>
  </si>
  <si>
    <t>Разработка модуля франчайзера (desktop) - Главная</t>
  </si>
  <si>
    <t>Настольное приложение соответствует макету</t>
  </si>
  <si>
    <t>Вход в настольное приложение осуществляется с помощью авторизации</t>
  </si>
  <si>
    <t>Реализовано хеширование пароля</t>
  </si>
  <si>
    <t>Авторизация реализована при помощи JWT</t>
  </si>
  <si>
    <t>При входе в личный кабинет первая страница - Главная</t>
  </si>
  <si>
    <t>При входе отображаются данные сотрудника</t>
  </si>
  <si>
    <t>Минус 0,1 за каждое отсутствующее условие:
0.1  - фото
0.1 - фамилия
0.1 - инициалы
0.1 - роль</t>
  </si>
  <si>
    <t>Реализована возможность просмотра профиля сотрудника через dropdown</t>
  </si>
  <si>
    <t>Реализована боковая панель меню</t>
  </si>
  <si>
    <t>Минус 0,1 за каждый отсутствующий пункт бокового меню:
0.1  - главная 0.1 - монитор ТА 0.1 - Детальные отчеты 0.1 - учет ТМЦ 0.1 - администрирование</t>
  </si>
  <si>
    <t>Реализована возможность раскрытия и скрытия “внутренних” пунктов меню</t>
  </si>
  <si>
    <t xml:space="preserve"> Реализован sidebar бокового меню для оптимизации экранного пространства</t>
  </si>
  <si>
    <t>На главной странице реализовано 5 блоков для отображения информации франчайзера</t>
  </si>
  <si>
    <t>Блок “Эффективность сети”: отображает процент работающих автоматов по всем франчайзи</t>
  </si>
  <si>
    <t>Отображение текста</t>
  </si>
  <si>
    <t>Блок “Эффективность сети”: процент динамически отображается на диаграмме</t>
  </si>
  <si>
    <t>Блок “Состояние сети”: отображает диаграмму с соотношением всех аппаратов сети со статусами: работает, не работает, на обслуживании</t>
  </si>
  <si>
    <t>Блок “Состояние сети”: отображается правильное количество ТА при выборе сектора</t>
  </si>
  <si>
    <t>Блок “Сводка” отображает данные по продажам, инкассации, обслуживании ТА</t>
  </si>
  <si>
    <t>Данные корректны</t>
  </si>
  <si>
    <t>Блок “Динамика продаж за последние 10 дней” отображает график с продажами за 10 дней</t>
  </si>
  <si>
    <t>Блок “Динамика продаж за последние 10 дней” реализована фильтрация по сумме</t>
  </si>
  <si>
    <t>Блок “Динамика продаж за последние 10 дней” реализована фильтрация по количеству</t>
  </si>
  <si>
    <t>Блок “Новости” отображает информацию с новостями франчайзера</t>
  </si>
  <si>
    <t xml:space="preserve">Реализована возможность скрывать плитки </t>
  </si>
  <si>
    <t>Реализована возможность перетаскивать плитки</t>
  </si>
  <si>
    <t>Разработка модуля франчайзера (desktop) - Администрирование</t>
  </si>
  <si>
    <t xml:space="preserve">Пункт меню “Администрирование” включает в себя подменю:  Торговые автоматы, Компании, Пользователи, Модемы, Дополнительные. </t>
  </si>
  <si>
    <t>При открытии пункта Меню “Торговые автоматы” отображается информация по всем автоматам в сети</t>
  </si>
  <si>
    <t xml:space="preserve">Минус 0,1 за каждый отсутствующий пункт: 0.1 - ID,  0.1 -  Название автомата,  0.1 -  Модель,  0.1 -  Компания (франчайзи),  0.1 -  Модем,  0.1 -  Адрес/Место,  0.1 -  В работе с,  0.1 -  Действия.
</t>
  </si>
  <si>
    <t>При открытии пункта Меню “Торговые автоматы” информация по всем автоматам в сети получена через API</t>
  </si>
  <si>
    <t>В пункте Меню “Торговые автоматы” реализована возможность переключения между режимами отображения информации</t>
  </si>
  <si>
    <t>Наличие кнопок</t>
  </si>
  <si>
    <t>В пункте Меню “Торговые автоматы”  данные отображаются согласно выбраному режиму отображения</t>
  </si>
  <si>
    <t>Отображение списком/плиткой</t>
  </si>
  <si>
    <t>В пункте Меню “Торговые автоматы”  есть отображение данных согласно указанному количеству строк</t>
  </si>
  <si>
    <t xml:space="preserve">0,1 балла за возможность указать количество строк, 0,1 балла за отображение указанного количества </t>
  </si>
  <si>
    <t xml:space="preserve"> В пункте Меню “Торговые автоматы”  есть отображение данных согласно указанному фильтру</t>
  </si>
  <si>
    <t>0,1 фильтр реализован, 0,1 отображение данных по фильтру</t>
  </si>
  <si>
    <t>В пункте Меню “Торговые автоматы”   есть пагинация</t>
  </si>
  <si>
    <t>В пункте Меню “Торговые автоматы”   есть отображение количества записей из общего количества</t>
  </si>
  <si>
    <t>Данные корректы</t>
  </si>
  <si>
    <t>В пункте Меню “Торговые автоматы”   есть выделение цветом нечетных строк таблицы</t>
  </si>
  <si>
    <t>В пункте Меню “Торговые автоматы”  есть экспорт данных в CSV, pdf, html</t>
  </si>
  <si>
    <t>Для ТА представлены и корректно работают графические объекты для редактирования, удаления и отзыва модема функции</t>
  </si>
  <si>
    <t xml:space="preserve">Минус 0,1 балла за каждый графический объект </t>
  </si>
  <si>
    <t>Реализовано удаление ТА</t>
  </si>
  <si>
    <t>Удаление ТА споровождается подтверждением пользователя</t>
  </si>
  <si>
    <t>При выборе действия отвязки модема от ТА, модем успешно отвязывается от ТА</t>
  </si>
  <si>
    <t>Отвязка модема от ТА эмулируется путем сообщений пользователю об отвязке и подтверждении операции</t>
  </si>
  <si>
    <t>После отвязки модема ТА остается в списке</t>
  </si>
  <si>
    <t>В пункте Меню “Торговые автоматы” при просмотре информации об отвязанном ТА поле модема принимает значение -1</t>
  </si>
  <si>
    <t>В пункте Меню “Торговые автоматы” реализована форма добавления информации о торговом автомате согласно представленному макету</t>
  </si>
  <si>
    <t xml:space="preserve">Торговый автомат и добавленная информация о нем сохраняются </t>
  </si>
  <si>
    <t>Реализована API для выполнения действий с ТА</t>
  </si>
  <si>
    <t xml:space="preserve">0,3 балла добавление ТА
0,3 балла удаление ТА
0,3 балла отвязка модема
0,3 балла редактирование ТА </t>
  </si>
  <si>
    <t>Реализована возможность группировки ТА по папкам по франчайзи</t>
  </si>
  <si>
    <t>Разработка модуля франчайзера (desktop) - Монитор ТА</t>
  </si>
  <si>
    <t>Интерфейс меню “Монитор ТА” реализован на основе представленного макета</t>
  </si>
  <si>
    <t>Минус 0,15 балла за нереализованный элемент макета, например лого сотовой связи, уровня связи, значки интерфейсов подключения и тд</t>
  </si>
  <si>
    <t>В пункте  Меню “Монитор ТА” есть возможность применения фильтра по общему состоянию (Зеленый - работает, красный  - не работает, синий  - на обслуживании)</t>
  </si>
  <si>
    <t>В пункте  Меню “Монитор ТА” данные отображаются  согласно примененному фильтру по общему состоянию</t>
  </si>
  <si>
    <t>В пункте  Меню “Монитор ТА” есть возможность применения фильтра  по типу подключения</t>
  </si>
  <si>
    <t>В пункте  Меню “Монитор ТА” данные отображаются  согласно примененному фильтру по типу подключения</t>
  </si>
  <si>
    <t>В пункте  Меню “Монитор ТА” есть возможность применения фильтра по Дополнительным статусам</t>
  </si>
  <si>
    <t>В пункте  Меню “Монитор ТА” данные отображаются  согласно примененному фильтру по Дополнительным статусам</t>
  </si>
  <si>
    <t>Все фильтры работают по нажатию на кнопку “Применить”</t>
  </si>
  <si>
    <t>При отсутствии результатов фильтрации отображается информационное сообщение</t>
  </si>
  <si>
    <t>Работа фильтров  дублируется выводом информации в поле “Итого автоматов”</t>
  </si>
  <si>
    <t xml:space="preserve">Поле “Денег в автоматах” пересчитывается только для тех автоматов, которые удовлетворяют условиям фильтра </t>
  </si>
  <si>
    <t xml:space="preserve">В пункте  Меню “Монитор ТА” реализовано отображение ТА в таблице: №, ТП, Связь, Загрузка, Денежные средства, События, Оборудование, Информация, Доп. </t>
  </si>
  <si>
    <t xml:space="preserve">Минус 0,1 за каждое отсутствующее требование к отображаемым данным: 
Информация о ТА из БД
Провайдер из БД
Время - время системное 
Деньги на счету - из БД
Состояние связи - из API 
Загрузка товарами(кофе, сахар, молоко, стаканы, крышки и тд) - из API 
Денежные средства - из API 
События  - из БД
Оборудование - из БД: выделение зеленым цветом оборудования конкретного ТА 
Информация - статусы из API (в ресурсах к сессии)
Доп. </t>
  </si>
  <si>
    <t>В пункте  Меню “Монитор ТА” реализована возможность сортировка по состоянию ТА</t>
  </si>
  <si>
    <t xml:space="preserve">Для отображения информации реализовано API </t>
  </si>
  <si>
    <t>В API реализована коррекнтая генерация состояния связи</t>
  </si>
  <si>
    <t>В API реализована коррекнтая  генерация загрузки</t>
  </si>
  <si>
    <t>В API реализована коррекнтая  генерация статусов ТА для эмуляции работы</t>
  </si>
  <si>
    <t>В API реализована коррекнтая генерация  денежных средств</t>
  </si>
  <si>
    <t>Мультиязычность: поддержка нескольких языков (русский, английский).</t>
  </si>
  <si>
    <t>Правильность английских слов</t>
  </si>
  <si>
    <t>Безопасность: использование HTTPS для защиты данных.</t>
  </si>
  <si>
    <t>Система push-уведомлений</t>
  </si>
  <si>
    <t>Уведомления реализованы в виде push</t>
  </si>
  <si>
    <t xml:space="preserve">Уведомления  реализованы по типам </t>
  </si>
  <si>
    <t xml:space="preserve">Критические ошибки (например, отсутствие сдачи, замятие товара, перегрев).
Предупреждения (например, низкий запас товара, необходимость обслуживания).
Информационные сообщения (например, успешная оплата, выдача товара).
</t>
  </si>
  <si>
    <t>Способ отображения - Всплывающее окно (toast-уведомление) в нижней или верхней части экрана</t>
  </si>
  <si>
    <t xml:space="preserve">Стиль уведомлеий реализован </t>
  </si>
  <si>
    <t xml:space="preserve">Критические – красный фон, иконка "⚠️" или "❌".
Предупреждения – жёлтый/оранжевый фон, иконка "⚠️".
Информационные – зелёный/синий фон, иконка "ℹ️" или "✓".
</t>
  </si>
  <si>
    <t>Текст уведомления четкий, краткий</t>
  </si>
  <si>
    <t xml:space="preserve">Время отображения верное </t>
  </si>
  <si>
    <t xml:space="preserve">Критические: 10 секунд (или пока не будет закрыто вручную).
Предупреждения: 7 секунд.
Информационные: 5 секунд.
</t>
  </si>
  <si>
    <t xml:space="preserve">Реализована возможность закрытия </t>
  </si>
  <si>
    <t xml:space="preserve">Все уведомления должны иметь кнопку "×" для досрочного закрытия.
Критические уведомления могут требовать подтверждения (например, кнопка "Понятно").
</t>
  </si>
  <si>
    <t>Реализована очередь уведомлений</t>
  </si>
  <si>
    <t xml:space="preserve">Если появляется несколько сообщений, они должны отображаться последовательно.
Приоритет: Критические &gt; Предупреждения &gt; Информационные.
</t>
  </si>
  <si>
    <t>Реализовано логирование</t>
  </si>
  <si>
    <t>Все уведомления записываются в журнал событий для последующего анализа.</t>
  </si>
  <si>
    <t>Отправка уведомлений на сервер (для удалённого мониторинга) реализована</t>
  </si>
  <si>
    <t>Разработка модуля франчайзера (Web) - Торговые автоматы</t>
  </si>
  <si>
    <t>Реализовано меню с пунктами: ТА, Календарь обслуживания, График работ</t>
  </si>
  <si>
    <t>Меню «ТА» позволяет загрузить информацию об торговых аппаратах из файла .xlsx/.csv</t>
  </si>
  <si>
    <t xml:space="preserve">Минус 0,3 за формат </t>
  </si>
  <si>
    <t>Система проверяет формат файла</t>
  </si>
  <si>
    <t>Система проверяет наличие обязательных данных</t>
  </si>
  <si>
    <t>минимум 6 полей</t>
  </si>
  <si>
    <t>Система проверяет корректность значений</t>
  </si>
  <si>
    <t>Система проверяет отсутствие дублирования с уже внесенными в систему данными</t>
  </si>
  <si>
    <t>Система при загрузке уведомляет о проблемных строках</t>
  </si>
  <si>
    <t xml:space="preserve">Данные загружаются в систему </t>
  </si>
  <si>
    <t>БД</t>
  </si>
  <si>
    <t>Разработка модуля франчайзера (Web) - Календарь обслуживания</t>
  </si>
  <si>
    <t>Календарь реализован по всем ТА</t>
  </si>
  <si>
    <t>Отображение календаря реализовано в формате неделя/месяц/год</t>
  </si>
  <si>
    <t>Минус 0,4 за формат</t>
  </si>
  <si>
    <t>Цветовая маркировка соответствует требованию</t>
  </si>
  <si>
    <t>–	Зеленый: Плановое ТО.
–	Желтый: Приближающийся срок (менее 5 дней).
–	Красный: Просроченные мероприятия</t>
  </si>
  <si>
    <t>Информация о ТА просматривается при  наведении</t>
  </si>
  <si>
    <t>Выводится вся информация о ТА</t>
  </si>
  <si>
    <t>модель, место расположения, франчайзер</t>
  </si>
  <si>
    <t>Реализован фильтр ТА</t>
  </si>
  <si>
    <t>Реализован алгоритм формирования графика в соответстви с заданием (ТА с ресурсом): при достижении 80–90% лимита</t>
  </si>
  <si>
    <t>проверка из БД</t>
  </si>
  <si>
    <t>Реализован алгоритм формирования графика в соответстви с заданием (Плановое ТО): Дата следующего ТО = Дата последней проверки + Интервал</t>
  </si>
  <si>
    <t>Разработка модуля франчайзера (Web) - График работ</t>
  </si>
  <si>
    <t>Система создает заявки на обслуживание ТА</t>
  </si>
  <si>
    <t>Статус новая и смена дня</t>
  </si>
  <si>
    <t>Реализовано расписание сотрудников</t>
  </si>
  <si>
    <t>Расписание сотрудников представлено в виде календаря</t>
  </si>
  <si>
    <t xml:space="preserve">Расписание доступно по всем сотрудникам и одному </t>
  </si>
  <si>
    <t>Минус 0,2 за отсутствующий пункт</t>
  </si>
  <si>
    <t>Реализован режим дневного просмотра</t>
  </si>
  <si>
    <t>детализация по часам</t>
  </si>
  <si>
    <t>Реализован режим недельного просмотра</t>
  </si>
  <si>
    <t>обзор загруженности по рабочим дням</t>
  </si>
  <si>
    <t>Система назначает задачи на текущий день, учитывая текущую загруженность сотрудников</t>
  </si>
  <si>
    <t>из расчета 1 час на дорогу до точки и 1 час на дорогу от точки, время на обслуживание ТА</t>
  </si>
  <si>
    <t>Система учитывает специфику работы сотрудника</t>
  </si>
  <si>
    <t>у сотрудника должен быть указан перечень моделей, которые они могут обслуживать</t>
  </si>
  <si>
    <t>Система назначает задачи на неделю, распределяя сбалансировано для равномерной нагрузки</t>
  </si>
  <si>
    <t>не более 40 часов на сотрудника</t>
  </si>
  <si>
    <t>Предусмотрена исключительная ситуация по доступности сотрудника</t>
  </si>
  <si>
    <t>система уведомляет пользователя</t>
  </si>
  <si>
    <t>Предусмотрена исключительная ситуация по перегрузкесотрудника</t>
  </si>
  <si>
    <t xml:space="preserve"> &gt;10 часов в день, перенос часть задач на другие даты</t>
  </si>
  <si>
    <t>Реализована возможность изменения приоритета работ</t>
  </si>
  <si>
    <t>Статус авария - назначается исполнитель в тот же день</t>
  </si>
  <si>
    <t>Имеется возможность распределения заявок с помощью drag-and-drop</t>
  </si>
  <si>
    <t>интерактив</t>
  </si>
  <si>
    <t>Перераспределение заявок сохраняется в БД</t>
  </si>
  <si>
    <t>Реализовано обновление статусов заявок</t>
  </si>
  <si>
    <t>В работе</t>
  </si>
  <si>
    <t>Реализовано обновление статусов оборудования</t>
  </si>
  <si>
    <t>В ремонте/на обслуживании</t>
  </si>
  <si>
    <t>Статусы сохраняются в историю изменения статусов</t>
  </si>
  <si>
    <t xml:space="preserve">оба статуса 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</si>
  <si>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</si>
  <si>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</si>
  <si>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</si>
  <si>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</si>
  <si>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</si>
  <si>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</si>
  <si>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</si>
  <si>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</si>
  <si>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</si>
  <si>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</si>
  <si>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</si>
  <si>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</si>
  <si>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</si>
  <si>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</si>
  <si>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</si>
  <si>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</si>
  <si>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</si>
  <si>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</si>
  <si>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Импорт данных</t>
  </si>
  <si>
    <t>Данные о пользователях импортированы</t>
  </si>
  <si>
    <t>Даннтые о ТА импортированы</t>
  </si>
  <si>
    <t>Данные о продажах импортированы</t>
  </si>
  <si>
    <t>Данные об обслуживании импортированы</t>
  </si>
  <si>
    <t>Данные о продуктах импортированы</t>
  </si>
  <si>
    <t>Разработка мобильного приложения</t>
  </si>
  <si>
    <t>Авторизация реализована по логину/табельному номеру и паролю через JWT  и API</t>
  </si>
  <si>
    <t>Реализовано хранение токена для автоматического входа</t>
  </si>
  <si>
    <t xml:space="preserve">Логотип компании вверху экрана </t>
  </si>
  <si>
    <t>Есть возможность изменения темы</t>
  </si>
  <si>
    <t>Привязка к задаче/оборудованию.
Локальное хранение</t>
  </si>
  <si>
    <t xml:space="preserve">Текстовый редактор реализован </t>
  </si>
  <si>
    <t>Заголовок + тело заметки.
Форматирование (жирный, списки).
Вставка фото/видео из галереи.
Голосовой ввод.</t>
  </si>
  <si>
    <t xml:space="preserve"> Требования UI/UX реализованы</t>
  </si>
  <si>
    <t>В</t>
  </si>
  <si>
    <t>Тестирование программных решений</t>
  </si>
  <si>
    <t>Тест-кейсы</t>
  </si>
  <si>
    <t>Представлено 10 тест-кейсов</t>
  </si>
  <si>
    <t>Минус 0,1 балла за каждую ошибку или непредоставленные данные по заданию</t>
  </si>
  <si>
    <t>Тест-кейс соответствует функционалу</t>
  </si>
  <si>
    <t>Тест-кейсы оформлены согласно шаблону в Ресурсах</t>
  </si>
  <si>
    <t>UI-тестирование</t>
  </si>
  <si>
    <t xml:space="preserve">Реализован 1 автоматизированный UI-тест для ЛК франчайзи с помощью библиотеки Selenium </t>
  </si>
  <si>
    <t>Минус 0,1 балла за каждую ошибку</t>
  </si>
  <si>
    <t xml:space="preserve">Реализован 2 автоматизированный UI-тест для ЛК франчайзи с помощью библиотеки Selenium </t>
  </si>
  <si>
    <t xml:space="preserve">Реализован 3 автоматизированный UI-тест для ЛК франчайзи с помощью библиотеки Selenium </t>
  </si>
  <si>
    <t xml:space="preserve">Реализован 4 автоматизированный UI-тест для ЛК франчайзи с помощью библиотеки Selenium </t>
  </si>
  <si>
    <t xml:space="preserve">Реализован 5 автоматизированный UI-тест для ЛК франчайзи с помощью библиотеки Selenium </t>
  </si>
  <si>
    <t>Г</t>
  </si>
  <si>
    <t>Документирование и оформление решения</t>
  </si>
  <si>
    <t>Postman коллекция</t>
  </si>
  <si>
    <t>Создана коллекция в Postman для работы с REST API</t>
  </si>
  <si>
    <t>Коллекция структурирована</t>
  </si>
  <si>
    <t>Коллекция содержит переменные</t>
  </si>
  <si>
    <t>Коллекция содержит тесты</t>
  </si>
  <si>
    <t>Коллекция содержит документацию</t>
  </si>
  <si>
    <t>Запросы разгруппированы по папкам</t>
  </si>
  <si>
    <t>Использованы понятные имена для запросов и папок</t>
  </si>
  <si>
    <t>Созданы переменные для базового URL, ID торгового аппарата и ID компании</t>
  </si>
  <si>
    <t>Для каждого запроса добавлено описание</t>
  </si>
  <si>
    <t xml:space="preserve">Коллекция была экспортирована в формате JSON и предоставлена  для проверки </t>
  </si>
  <si>
    <t>Тесты полезны и покрывают основные сценарии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</si>
  <si>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</si>
  <si>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</si>
  <si>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</si>
  <si>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</si>
  <si>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Определение качества программных решений</t>
  </si>
  <si>
    <t>Организация работ в соответствии с отраслевыми стандартами</t>
  </si>
  <si>
    <t>Ограничения целостности данных</t>
  </si>
  <si>
    <t>Реализовано ограничение на запрет дублирования по атрибутам серийноного и инвентарного номера</t>
  </si>
  <si>
    <t xml:space="preserve">Минус 0,2 за отсутствие одного ограничения </t>
  </si>
  <si>
    <t>Поля с типами дат реализованы в формате (ДД.ММ.ГГГГ)</t>
  </si>
  <si>
    <t>Минус 0,05 за отсутствие одного верного формата даты</t>
  </si>
  <si>
    <t>Дата изготовления, ввода в эксплуатацию, последней поверки, следюущего ремонта/обслуживания, инвенторизации</t>
  </si>
  <si>
    <t>Реализовано ограничение на дату ввода в экслпуатацию</t>
  </si>
  <si>
    <t>Не может быть раньше даты изготовления актива и позже даты внесения актива в систему</t>
  </si>
  <si>
    <t>Реализовано ограничение на дату последней поверки</t>
  </si>
  <si>
    <t>Не может быть раньше даты изготовления и позже текущей даты</t>
  </si>
  <si>
    <t>Реализован расчёт ожидаемой даты следующей поверки на основе даты последней поверки с учётом межпроверочного интервала</t>
  </si>
  <si>
    <t>Реализовано ограничение на хранение ресурса ТА в часах (положительное число)</t>
  </si>
  <si>
    <t>Реализовано ограничение на дату следующего ремонта/обслуживания</t>
  </si>
  <si>
    <t>Должна быть позже даты внесения ТА в систему</t>
  </si>
  <si>
    <t>Реализовано ограничение на время обслуживания</t>
  </si>
  <si>
    <t>от 1 до 20 часов</t>
  </si>
  <si>
    <t>Реализовано ограничение на статус</t>
  </si>
  <si>
    <t>Список выбора: Работает, Вышел из строя, В ремонте/на обслуживании</t>
  </si>
  <si>
    <t>Реализовано ограничение на страну производства</t>
  </si>
  <si>
    <t>Список выбора</t>
  </si>
  <si>
    <t>Реализовано ограничение на дату инвенторизации</t>
  </si>
  <si>
    <t>Интерфейс реализован: карточки задач и кнопки быстрого доступа</t>
  </si>
  <si>
    <t>При выборе карточки наряда отображается подробная информация</t>
  </si>
  <si>
    <t xml:space="preserve">Реализована возможность принятия или отклонения наряда </t>
  </si>
  <si>
    <t>Реализована возможность работы с протоколом</t>
  </si>
  <si>
    <t>Доступ к окну протокола, верный тип протокола, возможность заполнения чек-листа для обоих типов протоколов</t>
  </si>
  <si>
    <t>Реализовано изменение статусов</t>
  </si>
  <si>
    <t>Реализовано хранение истории статусов</t>
  </si>
  <si>
    <t>Протокол хранится в БД</t>
  </si>
  <si>
    <t>Протокол хранится локально на устройстве в pdf</t>
  </si>
  <si>
    <t>Реализован Оффлайн-режим: локальное сохранение данных с синхронизацией при появлении сети</t>
  </si>
  <si>
    <t>Региональный этап чемпионата по профессиональному мастерству "Профессионалы"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</si>
  <si>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</si>
  <si>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</si>
  <si>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</si>
  <si>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</si>
  <si>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</si>
  <si>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</si>
  <si>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 презентации продукта обозначены акценты бережливого производства на рабочем месте пользователя</t>
  </si>
  <si>
    <t>В презентации обоснованы принципы обучения сотрудников с учетом механизмов Lean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</si>
  <si>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</si>
  <si>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</si>
  <si>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</si>
  <si>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</si>
  <si>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</si>
  <si>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</si>
  <si>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</si>
  <si>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</si>
  <si>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</si>
  <si>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</si>
  <si>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</si>
  <si>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</si>
  <si>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</si>
  <si>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</si>
  <si>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Работа конкурсанта соответствует Инструкции по охране труда (Сессия 5)</t>
  </si>
  <si>
    <t>Культура безопасного труда и бережливое производство</t>
  </si>
  <si>
    <t>Документирование и презентация программных решений</t>
  </si>
  <si>
    <t>Перечень профессиональных задач соответствует таблице 1 Конкурсного задания</t>
  </si>
  <si>
    <t>drag and drop</t>
  </si>
  <si>
    <t>нужны оба файла</t>
  </si>
  <si>
    <t>обязательно сделать</t>
  </si>
  <si>
    <t>протестировать на linux</t>
  </si>
  <si>
    <t>Посмотреть про бережливое производство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</si>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</sst>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2"/>
      <name val="Times New Roman"/>
    </font>
    <font>
      <b/>
      <sz val="12"/>
      <name val="Times New Roman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indexed="64"/>
      <name val="Times New Roman"/>
      <family val="1"/>
      <charset val="204"/>
    </font>
    <font>
      <sz val="14"/>
      <name val="Garamond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  <fill>
      <patternFill patternType="solid">
        <fgColor theme="0"/>
        <bgColor indexed="3"/>
      </patternFill>
    </fill>
    <fill>
      <patternFill patternType="solid">
        <fgColor theme="0"/>
        <bgColor indexed="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rgb="FFBDD6EE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2"/>
      </patternFill>
    </fill>
    <fill>
      <patternFill patternType="solid">
        <fgColor theme="9"/>
        <bgColor rgb="FFDEEAF6"/>
      </patternFill>
    </fill>
    <fill>
      <patternFill patternType="solid">
        <fgColor theme="7"/>
        <bgColor indexed="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3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6" borderId="0" xfId="0" applyFont="1" applyFill="1"/>
    <xf numFmtId="0" fontId="1" fillId="4" borderId="1" xfId="0" applyFont="1" applyFill="1" applyBorder="1" applyAlignment="1">
      <alignment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9" borderId="0" xfId="0" applyFont="1" applyFill="1" applyAlignment="1">
      <alignment horizontal="right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wrapText="1"/>
    </xf>
    <xf numFmtId="0" fontId="3" fillId="0" borderId="14" xfId="0" applyFont="1" applyBorder="1"/>
    <xf numFmtId="0" fontId="4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0" xfId="0" quotePrefix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1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2" fontId="6" fillId="11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2" fontId="6" fillId="13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12" borderId="10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2" fontId="6" fillId="11" borderId="5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wrapText="1"/>
    </xf>
    <xf numFmtId="2" fontId="6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6" fillId="0" borderId="9" xfId="0" applyFont="1" applyBorder="1" applyAlignment="1">
      <alignment wrapText="1"/>
    </xf>
    <xf numFmtId="2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2" fontId="6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6" fillId="12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11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4" borderId="1" xfId="0" applyFont="1" applyFill="1" applyBorder="1" applyAlignment="1">
      <alignment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12" borderId="8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6" fillId="0" borderId="12" xfId="0" applyFont="1" applyBorder="1" applyAlignment="1">
      <alignment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11" borderId="8" xfId="0" applyFont="1" applyFill="1" applyBorder="1" applyAlignment="1">
      <alignment horizontal="left" vertical="top" wrapText="1"/>
    </xf>
    <xf numFmtId="0" fontId="7" fillId="0" borderId="13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wrapText="1"/>
    </xf>
    <xf numFmtId="2" fontId="6" fillId="4" borderId="10" xfId="0" applyNumberFormat="1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top" wrapText="1"/>
    </xf>
    <xf numFmtId="0" fontId="6" fillId="16" borderId="1" xfId="0" applyFont="1" applyFill="1" applyBorder="1" applyAlignment="1">
      <alignment horizontal="left" vertical="top" wrapText="1"/>
    </xf>
    <xf numFmtId="0" fontId="6" fillId="11" borderId="10" xfId="0" applyFont="1" applyFill="1" applyBorder="1" applyAlignment="1">
      <alignment horizontal="left" vertical="top" wrapText="1"/>
    </xf>
    <xf numFmtId="2" fontId="5" fillId="14" borderId="1" xfId="0" applyNumberFormat="1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9" fillId="0" borderId="14" xfId="0" applyFont="1" applyBorder="1" applyAlignment="1">
      <alignment horizontal="center" vertical="center"/>
    </xf>
    <xf numFmtId="2" fontId="9" fillId="11" borderId="14" xfId="0" applyNumberFormat="1" applyFont="1" applyFill="1" applyBorder="1" applyAlignment="1">
      <alignment horizontal="center" vertical="center"/>
    </xf>
    <xf numFmtId="0" fontId="9" fillId="0" borderId="14" xfId="0" applyFont="1" applyBorder="1"/>
    <xf numFmtId="2" fontId="9" fillId="0" borderId="14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2" fontId="10" fillId="11" borderId="16" xfId="0" applyNumberFormat="1" applyFont="1" applyFill="1" applyBorder="1" applyAlignment="1">
      <alignment horizontal="center" wrapText="1"/>
    </xf>
    <xf numFmtId="2" fontId="10" fillId="0" borderId="16" xfId="0" applyNumberFormat="1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wrapText="1"/>
    </xf>
    <xf numFmtId="2" fontId="6" fillId="0" borderId="0" xfId="0" applyNumberFormat="1" applyFont="1" applyAlignment="1">
      <alignment horizontal="center" vertical="center" wrapText="1"/>
    </xf>
    <xf numFmtId="0" fontId="6" fillId="9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2" fontId="5" fillId="10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2" fontId="1" fillId="0" borderId="0" xfId="0" applyNumberFormat="1" applyFont="1"/>
    <xf numFmtId="0" fontId="5" fillId="3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65"/>
  <sheetViews>
    <sheetView tabSelected="1" topLeftCell="A19" zoomScaleNormal="100" workbookViewId="0">
      <selection activeCell="G21" sqref="G21:G25"/>
    </sheetView>
  </sheetViews>
  <sheetFormatPr defaultColWidth="11.125" defaultRowHeight="15.75" x14ac:dyDescent="0.25"/>
  <cols>
    <col min="1" max="1" width="5.375" style="2" customWidth="1"/>
    <col min="2" max="2" width="28.625" style="2" customWidth="1"/>
    <col min="3" max="3" width="49.5" style="2" customWidth="1"/>
    <col min="4" max="4" width="36.125" style="2" bestFit="1" customWidth="1"/>
    <col min="5" max="5" width="26.875" style="2" customWidth="1"/>
    <col min="6" max="6" width="7.625" style="13" customWidth="1"/>
    <col min="7" max="23" width="8.5" style="1" customWidth="1"/>
    <col min="24" max="16384" width="11.125" style="1"/>
  </cols>
  <sheetData>
    <row r="1" spans="1:23" x14ac:dyDescent="0.25">
      <c r="A1" s="12"/>
    </row>
    <row r="2" spans="1:23" ht="31.5" x14ac:dyDescent="0.25">
      <c r="A2" s="12"/>
      <c r="B2" s="3" t="s">
        <v>0</v>
      </c>
      <c r="C2" s="24" t="s">
        <v>328</v>
      </c>
    </row>
    <row r="3" spans="1:23" x14ac:dyDescent="0.25">
      <c r="A3" s="12"/>
      <c r="B3" s="3" t="s">
        <v>1</v>
      </c>
      <c r="C3" s="3" t="s">
        <v>2</v>
      </c>
    </row>
    <row r="4" spans="1:23" x14ac:dyDescent="0.25">
      <c r="A4" s="12"/>
    </row>
    <row r="5" spans="1:23" ht="37.5" x14ac:dyDescent="0.25">
      <c r="A5" s="25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27" t="s">
        <v>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8.75" x14ac:dyDescent="0.25">
      <c r="A6" s="28" t="s">
        <v>9</v>
      </c>
      <c r="B6" s="121" t="s">
        <v>10</v>
      </c>
      <c r="C6" s="122"/>
      <c r="D6" s="122"/>
      <c r="E6" s="122"/>
      <c r="F6" s="29">
        <f>SUM(F7:F54)</f>
        <v>36.200000000000053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37.5" x14ac:dyDescent="0.25">
      <c r="A7" s="30">
        <v>1</v>
      </c>
      <c r="B7" s="31" t="s">
        <v>11</v>
      </c>
      <c r="C7" s="32"/>
      <c r="D7" s="33"/>
      <c r="E7" s="32"/>
      <c r="F7" s="34">
        <f>SUM(F8:F12)</f>
        <v>5.25</v>
      </c>
    </row>
    <row r="8" spans="1:23" ht="93.75" x14ac:dyDescent="0.25">
      <c r="A8" s="30"/>
      <c r="B8" s="32"/>
      <c r="C8" s="35" t="s">
        <v>12</v>
      </c>
      <c r="D8" s="32" t="s">
        <v>13</v>
      </c>
      <c r="E8" s="32"/>
      <c r="F8" s="36">
        <v>1</v>
      </c>
      <c r="G8" s="36"/>
    </row>
    <row r="9" spans="1:23" ht="112.5" x14ac:dyDescent="0.25">
      <c r="A9" s="30"/>
      <c r="B9" s="32"/>
      <c r="C9" s="35" t="s">
        <v>14</v>
      </c>
      <c r="D9" s="32" t="s">
        <v>15</v>
      </c>
      <c r="E9" s="32"/>
      <c r="F9" s="36">
        <v>2</v>
      </c>
      <c r="G9" s="36"/>
    </row>
    <row r="10" spans="1:23" ht="75" x14ac:dyDescent="0.25">
      <c r="A10" s="30"/>
      <c r="B10" s="32"/>
      <c r="C10" s="35" t="s">
        <v>16</v>
      </c>
      <c r="D10" s="32" t="s">
        <v>17</v>
      </c>
      <c r="E10" s="32"/>
      <c r="F10" s="36">
        <v>1</v>
      </c>
      <c r="G10" s="36"/>
    </row>
    <row r="11" spans="1:23" ht="93.75" x14ac:dyDescent="0.25">
      <c r="A11" s="30"/>
      <c r="B11" s="32"/>
      <c r="C11" s="35" t="s">
        <v>18</v>
      </c>
      <c r="D11" s="32" t="s">
        <v>19</v>
      </c>
      <c r="E11" s="32"/>
      <c r="F11" s="36">
        <v>1</v>
      </c>
      <c r="G11" s="36"/>
    </row>
    <row r="12" spans="1:23" ht="112.5" x14ac:dyDescent="0.25">
      <c r="A12" s="30"/>
      <c r="B12" s="32"/>
      <c r="C12" s="35" t="s">
        <v>20</v>
      </c>
      <c r="D12" s="32" t="s">
        <v>21</v>
      </c>
      <c r="E12" s="32"/>
      <c r="F12" s="36">
        <v>0.25</v>
      </c>
      <c r="G12" s="36"/>
    </row>
    <row r="13" spans="1:23" ht="37.5" x14ac:dyDescent="0.25">
      <c r="A13" s="30">
        <v>2</v>
      </c>
      <c r="B13" s="31" t="s">
        <v>22</v>
      </c>
      <c r="C13" s="32"/>
      <c r="D13" s="32"/>
      <c r="E13" s="32"/>
      <c r="F13" s="34">
        <f>SUM(F14:F19)</f>
        <v>4.8499999999999996</v>
      </c>
    </row>
    <row r="14" spans="1:23" ht="75" x14ac:dyDescent="0.25">
      <c r="A14" s="30"/>
      <c r="B14" s="32"/>
      <c r="C14" s="37" t="s">
        <v>23</v>
      </c>
      <c r="D14" s="32" t="s">
        <v>24</v>
      </c>
      <c r="E14" s="32"/>
      <c r="F14" s="36">
        <v>0.5</v>
      </c>
      <c r="G14" s="36"/>
    </row>
    <row r="15" spans="1:23" ht="18.75" x14ac:dyDescent="0.25">
      <c r="A15" s="30"/>
      <c r="B15" s="32"/>
      <c r="C15" s="37" t="s">
        <v>25</v>
      </c>
      <c r="D15" s="32"/>
      <c r="E15" s="32"/>
      <c r="F15" s="36">
        <v>0.1</v>
      </c>
      <c r="G15" s="36"/>
    </row>
    <row r="16" spans="1:23" ht="75" x14ac:dyDescent="0.25">
      <c r="A16" s="30"/>
      <c r="B16" s="32"/>
      <c r="C16" s="35" t="s">
        <v>26</v>
      </c>
      <c r="D16" s="32" t="s">
        <v>27</v>
      </c>
      <c r="E16" s="32"/>
      <c r="F16" s="36">
        <v>2</v>
      </c>
      <c r="G16" s="36"/>
    </row>
    <row r="17" spans="1:7" ht="75" x14ac:dyDescent="0.25">
      <c r="A17" s="30"/>
      <c r="B17" s="32"/>
      <c r="C17" s="35" t="s">
        <v>28</v>
      </c>
      <c r="D17" s="32" t="s">
        <v>29</v>
      </c>
      <c r="E17" s="32"/>
      <c r="F17" s="36">
        <v>1</v>
      </c>
      <c r="G17" s="36"/>
    </row>
    <row r="18" spans="1:7" ht="75" x14ac:dyDescent="0.25">
      <c r="A18" s="30"/>
      <c r="B18" s="32"/>
      <c r="C18" s="38" t="s">
        <v>30</v>
      </c>
      <c r="D18" s="32" t="s">
        <v>31</v>
      </c>
      <c r="E18" s="32"/>
      <c r="F18" s="36">
        <v>1</v>
      </c>
      <c r="G18" s="36"/>
    </row>
    <row r="19" spans="1:7" ht="112.5" x14ac:dyDescent="0.25">
      <c r="A19" s="30"/>
      <c r="B19" s="32"/>
      <c r="C19" s="35" t="s">
        <v>20</v>
      </c>
      <c r="D19" s="32" t="s">
        <v>21</v>
      </c>
      <c r="E19" s="32"/>
      <c r="F19" s="36">
        <v>0.25</v>
      </c>
      <c r="G19" s="36"/>
    </row>
    <row r="20" spans="1:7" ht="37.5" x14ac:dyDescent="0.25">
      <c r="A20" s="30">
        <v>3</v>
      </c>
      <c r="B20" s="31" t="s">
        <v>32</v>
      </c>
      <c r="C20" s="32"/>
      <c r="D20" s="32"/>
      <c r="E20" s="32"/>
      <c r="F20" s="34">
        <f>SUM(F21:F25)</f>
        <v>2.5</v>
      </c>
    </row>
    <row r="21" spans="1:7" ht="75" x14ac:dyDescent="0.25">
      <c r="A21" s="30"/>
      <c r="B21" s="32"/>
      <c r="C21" s="35" t="s">
        <v>33</v>
      </c>
      <c r="D21" s="32" t="s">
        <v>34</v>
      </c>
      <c r="E21" s="32"/>
      <c r="F21" s="36">
        <v>0.5</v>
      </c>
      <c r="G21" s="36"/>
    </row>
    <row r="22" spans="1:7" ht="56.25" x14ac:dyDescent="0.25">
      <c r="A22" s="30"/>
      <c r="B22" s="32"/>
      <c r="C22" s="35" t="s">
        <v>35</v>
      </c>
      <c r="D22" s="32" t="s">
        <v>36</v>
      </c>
      <c r="E22" s="32"/>
      <c r="F22" s="36">
        <v>0.5</v>
      </c>
      <c r="G22" s="36"/>
    </row>
    <row r="23" spans="1:7" ht="75" x14ac:dyDescent="0.25">
      <c r="A23" s="30"/>
      <c r="B23" s="32"/>
      <c r="C23" s="35" t="s">
        <v>37</v>
      </c>
      <c r="D23" s="32" t="s">
        <v>38</v>
      </c>
      <c r="E23" s="32"/>
      <c r="F23" s="36">
        <v>0.5</v>
      </c>
      <c r="G23" s="36"/>
    </row>
    <row r="24" spans="1:7" ht="56.25" x14ac:dyDescent="0.25">
      <c r="A24" s="30"/>
      <c r="B24" s="32"/>
      <c r="C24" s="35" t="s">
        <v>39</v>
      </c>
      <c r="D24" s="32" t="s">
        <v>40</v>
      </c>
      <c r="E24" s="32"/>
      <c r="F24" s="36">
        <v>0.5</v>
      </c>
      <c r="G24" s="36"/>
    </row>
    <row r="25" spans="1:7" ht="56.25" x14ac:dyDescent="0.25">
      <c r="A25" s="30"/>
      <c r="B25" s="32"/>
      <c r="C25" s="32" t="s">
        <v>41</v>
      </c>
      <c r="D25" s="32" t="s">
        <v>42</v>
      </c>
      <c r="E25" s="32"/>
      <c r="F25" s="36">
        <v>0.5</v>
      </c>
      <c r="G25" s="36"/>
    </row>
    <row r="26" spans="1:7" ht="18.75" x14ac:dyDescent="0.25">
      <c r="A26" s="30">
        <v>4</v>
      </c>
      <c r="B26" s="31" t="s">
        <v>43</v>
      </c>
      <c r="C26" s="32"/>
      <c r="D26" s="32"/>
      <c r="E26" s="32"/>
      <c r="F26" s="34">
        <f>SUM(F27:F53)</f>
        <v>5.4000000000000021</v>
      </c>
      <c r="G26" s="34"/>
    </row>
    <row r="27" spans="1:7" ht="18.75" x14ac:dyDescent="0.25">
      <c r="A27" s="30"/>
      <c r="B27" s="32"/>
      <c r="C27" s="32" t="s">
        <v>44</v>
      </c>
      <c r="D27" s="32"/>
      <c r="E27" s="32"/>
      <c r="F27" s="36">
        <v>0.2</v>
      </c>
      <c r="G27" s="36">
        <v>0.2</v>
      </c>
    </row>
    <row r="28" spans="1:7" ht="37.5" x14ac:dyDescent="0.25">
      <c r="A28" s="30"/>
      <c r="B28" s="32"/>
      <c r="C28" s="32" t="s">
        <v>45</v>
      </c>
      <c r="D28" s="32"/>
      <c r="E28" s="32"/>
      <c r="F28" s="36">
        <v>0.2</v>
      </c>
      <c r="G28" s="36">
        <v>0.2</v>
      </c>
    </row>
    <row r="29" spans="1:7" ht="37.5" x14ac:dyDescent="0.25">
      <c r="A29" s="30"/>
      <c r="B29" s="32"/>
      <c r="C29" s="32" t="s">
        <v>46</v>
      </c>
      <c r="D29" s="32"/>
      <c r="E29" s="32"/>
      <c r="F29" s="36">
        <v>0.2</v>
      </c>
    </row>
    <row r="30" spans="1:7" ht="18.75" x14ac:dyDescent="0.25">
      <c r="A30" s="30"/>
      <c r="B30" s="32"/>
      <c r="C30" s="32" t="s">
        <v>47</v>
      </c>
      <c r="D30" s="32"/>
      <c r="E30" s="32"/>
      <c r="F30" s="36">
        <v>0.2</v>
      </c>
      <c r="G30" s="36">
        <v>0.2</v>
      </c>
    </row>
    <row r="31" spans="1:7" ht="18.75" x14ac:dyDescent="0.25">
      <c r="A31" s="30"/>
      <c r="B31" s="32"/>
      <c r="C31" s="32" t="s">
        <v>48</v>
      </c>
      <c r="D31" s="32"/>
      <c r="E31" s="32"/>
      <c r="F31" s="36">
        <v>0.2</v>
      </c>
      <c r="G31" s="36">
        <v>0.2</v>
      </c>
    </row>
    <row r="32" spans="1:7" ht="37.5" x14ac:dyDescent="0.25">
      <c r="A32" s="30"/>
      <c r="B32" s="32"/>
      <c r="C32" s="32" t="s">
        <v>49</v>
      </c>
      <c r="D32" s="32"/>
      <c r="E32" s="32"/>
      <c r="F32" s="36">
        <v>0.2</v>
      </c>
      <c r="G32" s="36">
        <v>0.2</v>
      </c>
    </row>
    <row r="33" spans="1:7" ht="37.5" x14ac:dyDescent="0.25">
      <c r="A33" s="30"/>
      <c r="B33" s="32"/>
      <c r="C33" s="32" t="s">
        <v>50</v>
      </c>
      <c r="D33" s="32"/>
      <c r="E33" s="32"/>
      <c r="F33" s="36">
        <v>0.2</v>
      </c>
      <c r="G33" s="36">
        <v>0.2</v>
      </c>
    </row>
    <row r="34" spans="1:7" ht="93.75" x14ac:dyDescent="0.25">
      <c r="A34" s="30"/>
      <c r="B34" s="32"/>
      <c r="C34" s="32" t="s">
        <v>51</v>
      </c>
      <c r="D34" s="32"/>
      <c r="E34" s="32"/>
      <c r="F34" s="36">
        <v>0.2</v>
      </c>
      <c r="G34" s="36">
        <v>0.2</v>
      </c>
    </row>
    <row r="35" spans="1:7" ht="37.5" x14ac:dyDescent="0.25">
      <c r="A35" s="30"/>
      <c r="B35" s="32"/>
      <c r="C35" s="32" t="s">
        <v>52</v>
      </c>
      <c r="D35" s="32"/>
      <c r="E35" s="32"/>
      <c r="F35" s="36">
        <v>0.2</v>
      </c>
    </row>
    <row r="36" spans="1:7" ht="56.25" x14ac:dyDescent="0.25">
      <c r="A36" s="30"/>
      <c r="B36" s="32"/>
      <c r="C36" s="32" t="s">
        <v>53</v>
      </c>
      <c r="D36" s="32"/>
      <c r="E36" s="32"/>
      <c r="F36" s="36">
        <v>0.2</v>
      </c>
      <c r="G36" s="36">
        <v>0.2</v>
      </c>
    </row>
    <row r="37" spans="1:7" ht="56.25" x14ac:dyDescent="0.25">
      <c r="A37" s="30"/>
      <c r="B37" s="32"/>
      <c r="C37" s="32" t="s">
        <v>54</v>
      </c>
      <c r="D37" s="32"/>
      <c r="E37" s="32"/>
      <c r="F37" s="36">
        <v>0.2</v>
      </c>
      <c r="G37" s="36">
        <v>0.2</v>
      </c>
    </row>
    <row r="38" spans="1:7" ht="56.25" x14ac:dyDescent="0.25">
      <c r="A38" s="30"/>
      <c r="B38" s="32"/>
      <c r="C38" s="32" t="s">
        <v>55</v>
      </c>
      <c r="D38" s="32"/>
      <c r="E38" s="32"/>
      <c r="F38" s="36">
        <v>0.2</v>
      </c>
      <c r="G38" s="36">
        <v>0.2</v>
      </c>
    </row>
    <row r="39" spans="1:7" ht="75" x14ac:dyDescent="0.25">
      <c r="A39" s="30"/>
      <c r="B39" s="32"/>
      <c r="C39" s="32" t="s">
        <v>56</v>
      </c>
      <c r="D39" s="32"/>
      <c r="E39" s="32"/>
      <c r="F39" s="36">
        <v>0.2</v>
      </c>
      <c r="G39" s="36">
        <v>0.2</v>
      </c>
    </row>
    <row r="40" spans="1:7" ht="93.75" x14ac:dyDescent="0.25">
      <c r="A40" s="30"/>
      <c r="B40" s="32"/>
      <c r="C40" s="32" t="s">
        <v>57</v>
      </c>
      <c r="D40" s="32"/>
      <c r="E40" s="32"/>
      <c r="F40" s="36">
        <v>0.2</v>
      </c>
      <c r="G40" s="36">
        <v>0.2</v>
      </c>
    </row>
    <row r="41" spans="1:7" ht="93.75" x14ac:dyDescent="0.25">
      <c r="A41" s="30"/>
      <c r="B41" s="32"/>
      <c r="C41" s="32" t="s">
        <v>58</v>
      </c>
      <c r="D41" s="32"/>
      <c r="E41" s="32"/>
      <c r="F41" s="36">
        <v>0.2</v>
      </c>
      <c r="G41" s="36">
        <v>0.2</v>
      </c>
    </row>
    <row r="42" spans="1:7" ht="37.5" x14ac:dyDescent="0.25">
      <c r="A42" s="30"/>
      <c r="B42" s="32"/>
      <c r="C42" s="32" t="s">
        <v>59</v>
      </c>
      <c r="D42" s="32"/>
      <c r="E42" s="32"/>
      <c r="F42" s="36">
        <v>0.2</v>
      </c>
      <c r="G42" s="36">
        <v>0.2</v>
      </c>
    </row>
    <row r="43" spans="1:7" ht="56.25" x14ac:dyDescent="0.25">
      <c r="A43" s="30"/>
      <c r="B43" s="32"/>
      <c r="C43" s="32" t="s">
        <v>60</v>
      </c>
      <c r="D43" s="32"/>
      <c r="E43" s="32"/>
      <c r="F43" s="36">
        <v>0.2</v>
      </c>
      <c r="G43" s="36">
        <v>0.2</v>
      </c>
    </row>
    <row r="44" spans="1:7" ht="56.25" x14ac:dyDescent="0.25">
      <c r="A44" s="30"/>
      <c r="B44" s="32"/>
      <c r="C44" s="32" t="s">
        <v>61</v>
      </c>
      <c r="D44" s="32"/>
      <c r="E44" s="32"/>
      <c r="F44" s="36">
        <v>0.2</v>
      </c>
      <c r="G44" s="36">
        <v>0.2</v>
      </c>
    </row>
    <row r="45" spans="1:7" ht="37.5" x14ac:dyDescent="0.25">
      <c r="A45" s="30"/>
      <c r="B45" s="32"/>
      <c r="C45" s="32" t="s">
        <v>62</v>
      </c>
      <c r="D45" s="32"/>
      <c r="E45" s="32"/>
      <c r="F45" s="36">
        <v>0.2</v>
      </c>
    </row>
    <row r="46" spans="1:7" ht="37.5" x14ac:dyDescent="0.25">
      <c r="A46" s="30"/>
      <c r="B46" s="32"/>
      <c r="C46" s="32" t="s">
        <v>63</v>
      </c>
      <c r="D46" s="32"/>
      <c r="E46" s="32"/>
      <c r="F46" s="36">
        <v>0.2</v>
      </c>
    </row>
    <row r="47" spans="1:7" ht="56.25" x14ac:dyDescent="0.25">
      <c r="A47" s="30"/>
      <c r="B47" s="32"/>
      <c r="C47" s="32" t="s">
        <v>64</v>
      </c>
      <c r="D47" s="32"/>
      <c r="E47" s="32"/>
      <c r="F47" s="36">
        <v>0.2</v>
      </c>
    </row>
    <row r="48" spans="1:7" ht="56.25" x14ac:dyDescent="0.25">
      <c r="A48" s="30"/>
      <c r="B48" s="32"/>
      <c r="C48" s="32" t="s">
        <v>65</v>
      </c>
      <c r="D48" s="32"/>
      <c r="E48" s="32"/>
      <c r="F48" s="36">
        <v>0.2</v>
      </c>
    </row>
    <row r="49" spans="1:23" ht="75" x14ac:dyDescent="0.25">
      <c r="A49" s="30"/>
      <c r="B49" s="32"/>
      <c r="C49" s="32" t="s">
        <v>66</v>
      </c>
      <c r="D49" s="32"/>
      <c r="E49" s="32"/>
      <c r="F49" s="36">
        <v>0.2</v>
      </c>
    </row>
    <row r="50" spans="1:23" ht="56.25" x14ac:dyDescent="0.25">
      <c r="A50" s="30"/>
      <c r="B50" s="32"/>
      <c r="C50" s="32" t="s">
        <v>67</v>
      </c>
      <c r="D50" s="32"/>
      <c r="E50" s="32"/>
      <c r="F50" s="36">
        <v>0.2</v>
      </c>
      <c r="G50" s="36">
        <v>0.2</v>
      </c>
    </row>
    <row r="51" spans="1:23" ht="75" x14ac:dyDescent="0.25">
      <c r="A51" s="30"/>
      <c r="B51" s="32"/>
      <c r="C51" s="32" t="s">
        <v>68</v>
      </c>
      <c r="D51" s="32"/>
      <c r="E51" s="32"/>
      <c r="F51" s="36">
        <v>0.2</v>
      </c>
      <c r="G51" s="36">
        <v>0.2</v>
      </c>
    </row>
    <row r="52" spans="1:23" ht="18.75" x14ac:dyDescent="0.25">
      <c r="A52" s="30"/>
      <c r="B52" s="32" t="s">
        <v>356</v>
      </c>
      <c r="C52" s="32" t="s">
        <v>69</v>
      </c>
      <c r="D52" s="32"/>
      <c r="E52" s="32"/>
      <c r="F52" s="36">
        <v>0.2</v>
      </c>
      <c r="G52" s="36">
        <v>0.2</v>
      </c>
    </row>
    <row r="53" spans="1:23" ht="18.75" x14ac:dyDescent="0.25">
      <c r="A53" s="30"/>
      <c r="B53" s="32"/>
      <c r="C53" s="32" t="s">
        <v>70</v>
      </c>
      <c r="D53" s="32"/>
      <c r="E53" s="32"/>
      <c r="F53" s="36">
        <v>0.2</v>
      </c>
      <c r="G53" s="36">
        <v>0.2</v>
      </c>
    </row>
    <row r="54" spans="1:23" ht="37.5" x14ac:dyDescent="0.25">
      <c r="A54" s="30"/>
      <c r="B54" s="32"/>
      <c r="C54" s="32" t="s">
        <v>71</v>
      </c>
      <c r="D54" s="32"/>
      <c r="E54" s="32"/>
      <c r="F54" s="36">
        <v>0.2</v>
      </c>
      <c r="G54" s="36">
        <v>0.2</v>
      </c>
    </row>
    <row r="55" spans="1:23" ht="18.75" x14ac:dyDescent="0.25">
      <c r="A55" s="28" t="s">
        <v>72</v>
      </c>
      <c r="B55" s="123" t="s">
        <v>73</v>
      </c>
      <c r="C55" s="124"/>
      <c r="D55" s="124"/>
      <c r="E55" s="124"/>
      <c r="F55" s="2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56.25" x14ac:dyDescent="0.25">
      <c r="A56" s="30">
        <v>1</v>
      </c>
      <c r="B56" s="31" t="s">
        <v>74</v>
      </c>
      <c r="C56" s="32"/>
      <c r="D56" s="32"/>
      <c r="E56" s="32"/>
      <c r="F56" s="34">
        <f>SUM(F57:F78)</f>
        <v>9.5</v>
      </c>
    </row>
    <row r="57" spans="1:23" ht="18.75" x14ac:dyDescent="0.25">
      <c r="A57" s="30"/>
      <c r="B57" s="76"/>
      <c r="C57" s="32" t="s">
        <v>75</v>
      </c>
      <c r="D57" s="32"/>
      <c r="E57" s="32"/>
      <c r="F57" s="36">
        <v>1</v>
      </c>
      <c r="G57" s="36">
        <v>1</v>
      </c>
    </row>
    <row r="58" spans="1:23" ht="37.5" x14ac:dyDescent="0.25">
      <c r="A58" s="30"/>
      <c r="B58" s="76"/>
      <c r="C58" s="32" t="s">
        <v>76</v>
      </c>
      <c r="D58" s="32"/>
      <c r="E58" s="32"/>
      <c r="F58" s="36">
        <v>0.5</v>
      </c>
      <c r="G58" s="36">
        <v>0.5</v>
      </c>
    </row>
    <row r="59" spans="1:23" ht="18.75" x14ac:dyDescent="0.25">
      <c r="A59" s="30"/>
      <c r="B59" s="76"/>
      <c r="C59" s="32" t="s">
        <v>77</v>
      </c>
      <c r="D59" s="32"/>
      <c r="E59" s="32"/>
      <c r="F59" s="36">
        <v>0.5</v>
      </c>
      <c r="G59" s="36">
        <v>0.5</v>
      </c>
    </row>
    <row r="60" spans="1:23" ht="18.75" x14ac:dyDescent="0.25">
      <c r="A60" s="30"/>
      <c r="B60" s="118"/>
      <c r="C60" s="32" t="s">
        <v>78</v>
      </c>
      <c r="D60" s="32"/>
      <c r="E60" s="32"/>
      <c r="F60" s="36">
        <v>0.5</v>
      </c>
    </row>
    <row r="61" spans="1:23" ht="37.5" x14ac:dyDescent="0.25">
      <c r="A61" s="30"/>
      <c r="B61" s="76"/>
      <c r="C61" s="32" t="s">
        <v>79</v>
      </c>
      <c r="D61" s="32"/>
      <c r="E61" s="32"/>
      <c r="F61" s="36">
        <v>0.1</v>
      </c>
      <c r="G61" s="36">
        <v>0.1</v>
      </c>
    </row>
    <row r="62" spans="1:23" ht="112.5" x14ac:dyDescent="0.25">
      <c r="A62" s="30"/>
      <c r="B62" s="76"/>
      <c r="C62" s="32" t="s">
        <v>80</v>
      </c>
      <c r="D62" s="32" t="s">
        <v>81</v>
      </c>
      <c r="E62" s="32"/>
      <c r="F62" s="36">
        <v>0.4</v>
      </c>
      <c r="G62" s="36">
        <v>0.4</v>
      </c>
    </row>
    <row r="63" spans="1:23" ht="37.5" x14ac:dyDescent="0.25">
      <c r="A63" s="30"/>
      <c r="B63" s="76"/>
      <c r="C63" s="32" t="s">
        <v>82</v>
      </c>
      <c r="D63" s="32"/>
      <c r="E63" s="32"/>
      <c r="F63" s="36">
        <v>0.2</v>
      </c>
      <c r="G63" s="36">
        <v>0.2</v>
      </c>
    </row>
    <row r="64" spans="1:23" ht="112.5" x14ac:dyDescent="0.25">
      <c r="A64" s="30"/>
      <c r="B64" s="76"/>
      <c r="C64" s="32" t="s">
        <v>83</v>
      </c>
      <c r="D64" s="32" t="s">
        <v>84</v>
      </c>
      <c r="E64" s="32"/>
      <c r="F64" s="36">
        <v>0.5</v>
      </c>
      <c r="G64" s="36">
        <v>0.5</v>
      </c>
    </row>
    <row r="65" spans="1:7" ht="37.5" x14ac:dyDescent="0.25">
      <c r="A65" s="30"/>
      <c r="B65" s="76"/>
      <c r="C65" s="32" t="s">
        <v>85</v>
      </c>
      <c r="D65" s="32"/>
      <c r="E65" s="32"/>
      <c r="F65" s="36">
        <v>0.3</v>
      </c>
      <c r="G65" s="36">
        <v>0.3</v>
      </c>
    </row>
    <row r="66" spans="1:7" ht="37.5" x14ac:dyDescent="0.25">
      <c r="A66" s="30"/>
      <c r="B66" s="76"/>
      <c r="C66" s="32" t="s">
        <v>86</v>
      </c>
      <c r="D66" s="32"/>
      <c r="E66" s="32"/>
      <c r="F66" s="36">
        <v>0.5</v>
      </c>
      <c r="G66" s="36">
        <v>0.5</v>
      </c>
    </row>
    <row r="67" spans="1:7" ht="37.5" x14ac:dyDescent="0.25">
      <c r="A67" s="30"/>
      <c r="B67" s="76"/>
      <c r="C67" s="39" t="s">
        <v>87</v>
      </c>
      <c r="D67" s="32"/>
      <c r="E67" s="32"/>
      <c r="F67" s="36">
        <v>0.3</v>
      </c>
      <c r="G67" s="36">
        <v>0.3</v>
      </c>
    </row>
    <row r="68" spans="1:7" ht="56.25" x14ac:dyDescent="0.25">
      <c r="A68" s="30"/>
      <c r="B68" s="76"/>
      <c r="C68" s="32" t="s">
        <v>88</v>
      </c>
      <c r="D68" s="32" t="s">
        <v>89</v>
      </c>
      <c r="E68" s="32"/>
      <c r="F68" s="36">
        <v>0.1</v>
      </c>
      <c r="G68" s="36">
        <v>0.1</v>
      </c>
    </row>
    <row r="69" spans="1:7" ht="37.5" x14ac:dyDescent="0.25">
      <c r="A69" s="30"/>
      <c r="B69" s="32"/>
      <c r="C69" s="32" t="s">
        <v>90</v>
      </c>
      <c r="D69" s="32"/>
      <c r="E69" s="32"/>
      <c r="F69" s="36">
        <v>0.5</v>
      </c>
    </row>
    <row r="70" spans="1:7" ht="75" x14ac:dyDescent="0.25">
      <c r="A70" s="30"/>
      <c r="B70" s="32"/>
      <c r="C70" s="32" t="s">
        <v>91</v>
      </c>
      <c r="D70" s="32"/>
      <c r="E70" s="32"/>
      <c r="F70" s="36">
        <v>0.5</v>
      </c>
    </row>
    <row r="71" spans="1:7" ht="56.25" x14ac:dyDescent="0.25">
      <c r="A71" s="30"/>
      <c r="B71" s="32"/>
      <c r="C71" s="32" t="s">
        <v>92</v>
      </c>
      <c r="D71" s="32"/>
      <c r="E71" s="32"/>
      <c r="F71" s="36">
        <v>0.3</v>
      </c>
    </row>
    <row r="72" spans="1:7" ht="37.5" x14ac:dyDescent="0.25">
      <c r="A72" s="30"/>
      <c r="B72" s="76"/>
      <c r="C72" s="32" t="s">
        <v>93</v>
      </c>
      <c r="D72" s="32" t="s">
        <v>94</v>
      </c>
      <c r="E72" s="32"/>
      <c r="F72" s="36">
        <v>0.6</v>
      </c>
    </row>
    <row r="73" spans="1:7" ht="56.25" x14ac:dyDescent="0.25">
      <c r="A73" s="30"/>
      <c r="B73" s="32"/>
      <c r="C73" s="32" t="s">
        <v>95</v>
      </c>
      <c r="D73" s="32"/>
      <c r="E73" s="32"/>
      <c r="F73" s="36">
        <v>0.6</v>
      </c>
    </row>
    <row r="74" spans="1:7" ht="37.5" x14ac:dyDescent="0.25">
      <c r="A74" s="30"/>
      <c r="B74" s="32"/>
      <c r="C74" s="32" t="s">
        <v>96</v>
      </c>
      <c r="D74" s="32"/>
      <c r="E74" s="32"/>
      <c r="F74" s="36">
        <v>0.5</v>
      </c>
    </row>
    <row r="75" spans="1:7" ht="37.5" x14ac:dyDescent="0.25">
      <c r="A75" s="30"/>
      <c r="B75" s="32"/>
      <c r="C75" s="32" t="s">
        <v>97</v>
      </c>
      <c r="D75" s="32"/>
      <c r="E75" s="32"/>
      <c r="F75" s="36">
        <v>0.4</v>
      </c>
    </row>
    <row r="76" spans="1:7" ht="37.5" x14ac:dyDescent="0.25">
      <c r="A76" s="30"/>
      <c r="B76" s="76"/>
      <c r="C76" s="32" t="s">
        <v>98</v>
      </c>
      <c r="D76" s="32"/>
      <c r="E76" s="32"/>
      <c r="F76" s="36">
        <v>0.4</v>
      </c>
      <c r="G76" s="36">
        <v>0.4</v>
      </c>
    </row>
    <row r="77" spans="1:7" s="6" customFormat="1" ht="18.75" x14ac:dyDescent="0.25">
      <c r="A77" s="40"/>
      <c r="B77" s="119"/>
      <c r="C77" s="41" t="s">
        <v>99</v>
      </c>
      <c r="D77" s="41"/>
      <c r="E77" s="41"/>
      <c r="F77" s="42">
        <v>0.4</v>
      </c>
      <c r="G77" s="42">
        <v>0.4</v>
      </c>
    </row>
    <row r="78" spans="1:7" s="6" customFormat="1" ht="37.5" x14ac:dyDescent="0.25">
      <c r="A78" s="40"/>
      <c r="B78" s="41"/>
      <c r="C78" s="41" t="s">
        <v>100</v>
      </c>
      <c r="D78" s="41"/>
      <c r="E78" s="41"/>
      <c r="F78" s="42">
        <v>0.4</v>
      </c>
    </row>
    <row r="79" spans="1:7" s="6" customFormat="1" ht="56.25" x14ac:dyDescent="0.25">
      <c r="A79" s="43">
        <v>2</v>
      </c>
      <c r="B79" s="31" t="s">
        <v>101</v>
      </c>
      <c r="C79" s="44"/>
      <c r="D79" s="44"/>
      <c r="E79" s="44"/>
      <c r="F79" s="34">
        <f>SUM(F80:F101)</f>
        <v>7.799999999999998</v>
      </c>
    </row>
    <row r="80" spans="1:7" ht="75" x14ac:dyDescent="0.25">
      <c r="A80" s="30"/>
      <c r="B80" s="32"/>
      <c r="C80" s="39" t="s">
        <v>102</v>
      </c>
      <c r="D80" s="32"/>
      <c r="E80" s="32"/>
      <c r="F80" s="36">
        <v>0.3</v>
      </c>
      <c r="G80" s="36">
        <v>0.3</v>
      </c>
    </row>
    <row r="81" spans="1:7" ht="150" x14ac:dyDescent="0.25">
      <c r="A81" s="30"/>
      <c r="B81" s="32"/>
      <c r="C81" s="32" t="s">
        <v>103</v>
      </c>
      <c r="D81" s="32" t="s">
        <v>104</v>
      </c>
      <c r="E81" s="32"/>
      <c r="F81" s="36">
        <v>0.8</v>
      </c>
      <c r="G81" s="36">
        <v>0.8</v>
      </c>
    </row>
    <row r="82" spans="1:7" ht="56.25" x14ac:dyDescent="0.25">
      <c r="A82" s="30"/>
      <c r="B82" s="32"/>
      <c r="C82" s="32" t="s">
        <v>105</v>
      </c>
      <c r="D82" s="32"/>
      <c r="E82" s="32"/>
      <c r="F82" s="36">
        <v>0.5</v>
      </c>
      <c r="G82" s="36">
        <v>0.5</v>
      </c>
    </row>
    <row r="83" spans="1:7" ht="56.25" x14ac:dyDescent="0.25">
      <c r="A83" s="30"/>
      <c r="B83" s="32"/>
      <c r="C83" s="32" t="s">
        <v>106</v>
      </c>
      <c r="D83" s="32" t="s">
        <v>107</v>
      </c>
      <c r="E83" s="32"/>
      <c r="F83" s="36">
        <v>0.1</v>
      </c>
      <c r="G83" s="36">
        <v>0.1</v>
      </c>
    </row>
    <row r="84" spans="1:7" ht="56.25" x14ac:dyDescent="0.25">
      <c r="A84" s="30"/>
      <c r="B84" s="32"/>
      <c r="C84" s="32" t="s">
        <v>108</v>
      </c>
      <c r="D84" s="32" t="s">
        <v>109</v>
      </c>
      <c r="E84" s="32"/>
      <c r="F84" s="36">
        <v>0.5</v>
      </c>
    </row>
    <row r="85" spans="1:7" ht="75" x14ac:dyDescent="0.25">
      <c r="A85" s="30"/>
      <c r="B85" s="32"/>
      <c r="C85" s="32" t="s">
        <v>110</v>
      </c>
      <c r="D85" s="32" t="s">
        <v>111</v>
      </c>
      <c r="E85" s="32"/>
      <c r="F85" s="36">
        <v>0.2</v>
      </c>
      <c r="G85" s="36">
        <v>0.2</v>
      </c>
    </row>
    <row r="86" spans="1:7" ht="56.25" x14ac:dyDescent="0.25">
      <c r="A86" s="30"/>
      <c r="B86" s="32"/>
      <c r="C86" s="32" t="s">
        <v>112</v>
      </c>
      <c r="D86" s="32" t="s">
        <v>113</v>
      </c>
      <c r="E86" s="32"/>
      <c r="F86" s="36">
        <v>0.3</v>
      </c>
      <c r="G86" s="36">
        <v>0.3</v>
      </c>
    </row>
    <row r="87" spans="1:7" ht="37.5" x14ac:dyDescent="0.25">
      <c r="A87" s="30"/>
      <c r="B87" s="32"/>
      <c r="C87" s="32" t="s">
        <v>114</v>
      </c>
      <c r="D87" s="32"/>
      <c r="E87" s="32"/>
      <c r="F87" s="36">
        <v>0.5</v>
      </c>
      <c r="G87" s="36">
        <v>0.5</v>
      </c>
    </row>
    <row r="88" spans="1:7" ht="56.25" x14ac:dyDescent="0.25">
      <c r="A88" s="30"/>
      <c r="B88" s="32"/>
      <c r="C88" s="32" t="s">
        <v>115</v>
      </c>
      <c r="D88" s="32" t="s">
        <v>116</v>
      </c>
      <c r="E88" s="32"/>
      <c r="F88" s="36">
        <v>0.3</v>
      </c>
      <c r="G88" s="36">
        <v>0.3</v>
      </c>
    </row>
    <row r="89" spans="1:7" ht="37.5" x14ac:dyDescent="0.25">
      <c r="A89" s="30"/>
      <c r="B89" s="32"/>
      <c r="C89" s="32" t="s">
        <v>117</v>
      </c>
      <c r="D89" s="32"/>
      <c r="E89" s="32"/>
      <c r="F89" s="36">
        <v>0.3</v>
      </c>
      <c r="G89" s="36">
        <v>0.3</v>
      </c>
    </row>
    <row r="90" spans="1:7" ht="37.5" x14ac:dyDescent="0.25">
      <c r="A90" s="30"/>
      <c r="B90" s="32"/>
      <c r="C90" s="32" t="s">
        <v>118</v>
      </c>
      <c r="D90" s="32"/>
      <c r="E90" s="32"/>
      <c r="F90" s="36">
        <v>0.3</v>
      </c>
      <c r="G90" s="36">
        <v>0.3</v>
      </c>
    </row>
    <row r="91" spans="1:7" ht="56.25" x14ac:dyDescent="0.25">
      <c r="A91" s="30"/>
      <c r="B91" s="32"/>
      <c r="C91" s="32" t="s">
        <v>119</v>
      </c>
      <c r="D91" s="32" t="s">
        <v>120</v>
      </c>
      <c r="E91" s="32"/>
      <c r="F91" s="36">
        <v>0.3</v>
      </c>
      <c r="G91" s="36">
        <v>0.3</v>
      </c>
    </row>
    <row r="92" spans="1:7" ht="18.75" x14ac:dyDescent="0.25">
      <c r="A92" s="30"/>
      <c r="B92" s="32"/>
      <c r="C92" s="32" t="s">
        <v>121</v>
      </c>
      <c r="D92" s="32"/>
      <c r="E92" s="32"/>
      <c r="F92" s="36">
        <v>0.3</v>
      </c>
      <c r="G92" s="36">
        <v>0.3</v>
      </c>
    </row>
    <row r="93" spans="1:7" ht="37.5" x14ac:dyDescent="0.25">
      <c r="A93" s="30"/>
      <c r="B93" s="32"/>
      <c r="C93" s="32" t="s">
        <v>122</v>
      </c>
      <c r="D93" s="32"/>
      <c r="E93" s="32"/>
      <c r="F93" s="36">
        <v>0.3</v>
      </c>
      <c r="G93" s="36">
        <v>0.3</v>
      </c>
    </row>
    <row r="94" spans="1:7" ht="37.5" x14ac:dyDescent="0.25">
      <c r="A94" s="30"/>
      <c r="B94" s="32"/>
      <c r="C94" s="32" t="s">
        <v>123</v>
      </c>
      <c r="D94" s="32"/>
      <c r="E94" s="32"/>
      <c r="F94" s="36">
        <v>0.3</v>
      </c>
    </row>
    <row r="95" spans="1:7" ht="56.25" x14ac:dyDescent="0.25">
      <c r="A95" s="30"/>
      <c r="B95" s="32"/>
      <c r="C95" s="32" t="s">
        <v>124</v>
      </c>
      <c r="D95" s="32"/>
      <c r="E95" s="32"/>
      <c r="F95" s="36">
        <v>0.3</v>
      </c>
    </row>
    <row r="96" spans="1:7" ht="18.75" x14ac:dyDescent="0.25">
      <c r="A96" s="30"/>
      <c r="B96" s="32"/>
      <c r="C96" s="32" t="s">
        <v>125</v>
      </c>
      <c r="D96" s="32"/>
      <c r="E96" s="32"/>
      <c r="F96" s="36">
        <v>0.3</v>
      </c>
    </row>
    <row r="97" spans="1:7" ht="56.25" x14ac:dyDescent="0.25">
      <c r="A97" s="30"/>
      <c r="B97" s="32"/>
      <c r="C97" s="32" t="s">
        <v>126</v>
      </c>
      <c r="D97" s="32"/>
      <c r="E97" s="32"/>
      <c r="F97" s="36">
        <v>0.3</v>
      </c>
    </row>
    <row r="98" spans="1:7" ht="75" x14ac:dyDescent="0.25">
      <c r="A98" s="30"/>
      <c r="B98" s="97"/>
      <c r="C98" s="32" t="s">
        <v>127</v>
      </c>
      <c r="D98" s="32"/>
      <c r="E98" s="32"/>
      <c r="F98" s="36">
        <v>0.3</v>
      </c>
    </row>
    <row r="99" spans="1:7" ht="37.5" x14ac:dyDescent="0.25">
      <c r="A99" s="30"/>
      <c r="B99" s="32"/>
      <c r="C99" s="32" t="s">
        <v>128</v>
      </c>
      <c r="D99" s="32"/>
      <c r="E99" s="32"/>
      <c r="F99" s="36">
        <v>0.3</v>
      </c>
    </row>
    <row r="100" spans="1:7" ht="75" x14ac:dyDescent="0.25">
      <c r="A100" s="30"/>
      <c r="B100" s="32"/>
      <c r="C100" s="32" t="s">
        <v>129</v>
      </c>
      <c r="D100" s="32" t="s">
        <v>130</v>
      </c>
      <c r="E100" s="32"/>
      <c r="F100" s="36">
        <v>0.5</v>
      </c>
      <c r="G100" s="36">
        <v>0.5</v>
      </c>
    </row>
    <row r="101" spans="1:7" ht="37.5" x14ac:dyDescent="0.25">
      <c r="A101" s="30"/>
      <c r="B101" s="97"/>
      <c r="C101" s="32" t="s">
        <v>131</v>
      </c>
      <c r="D101" s="32"/>
      <c r="E101" s="32"/>
      <c r="F101" s="36">
        <v>0.5</v>
      </c>
      <c r="G101" s="36">
        <v>0.5</v>
      </c>
    </row>
    <row r="102" spans="1:7" ht="56.25" x14ac:dyDescent="0.25">
      <c r="A102" s="30">
        <v>3</v>
      </c>
      <c r="B102" s="31" t="s">
        <v>132</v>
      </c>
      <c r="C102" s="39"/>
      <c r="D102" s="32"/>
      <c r="E102" s="32"/>
      <c r="F102" s="34">
        <f>SUM(F103:F120)</f>
        <v>11.700000000000001</v>
      </c>
    </row>
    <row r="103" spans="1:7" ht="93.75" x14ac:dyDescent="0.25">
      <c r="A103" s="30"/>
      <c r="B103" s="97"/>
      <c r="C103" s="39" t="s">
        <v>133</v>
      </c>
      <c r="D103" s="32" t="s">
        <v>134</v>
      </c>
      <c r="E103" s="32"/>
      <c r="F103" s="36">
        <v>2</v>
      </c>
    </row>
    <row r="104" spans="1:7" ht="75" x14ac:dyDescent="0.25">
      <c r="A104" s="30"/>
      <c r="B104" s="32"/>
      <c r="C104" s="39" t="s">
        <v>135</v>
      </c>
      <c r="D104" s="32"/>
      <c r="E104" s="32"/>
      <c r="F104" s="36">
        <v>0.3</v>
      </c>
    </row>
    <row r="105" spans="1:7" ht="56.25" x14ac:dyDescent="0.25">
      <c r="A105" s="30"/>
      <c r="B105" s="32"/>
      <c r="C105" s="39" t="s">
        <v>136</v>
      </c>
      <c r="D105" s="32"/>
      <c r="E105" s="32"/>
      <c r="F105" s="36">
        <v>0.5</v>
      </c>
    </row>
    <row r="106" spans="1:7" ht="56.25" x14ac:dyDescent="0.25">
      <c r="A106" s="30"/>
      <c r="B106" s="32"/>
      <c r="C106" s="39" t="s">
        <v>137</v>
      </c>
      <c r="D106" s="32"/>
      <c r="E106" s="32"/>
      <c r="F106" s="36">
        <v>0.3</v>
      </c>
    </row>
    <row r="107" spans="1:7" ht="56.25" x14ac:dyDescent="0.25">
      <c r="A107" s="30"/>
      <c r="B107" s="32"/>
      <c r="C107" s="39" t="s">
        <v>138</v>
      </c>
      <c r="D107" s="32"/>
      <c r="E107" s="32"/>
      <c r="F107" s="36">
        <v>0.5</v>
      </c>
    </row>
    <row r="108" spans="1:7" ht="56.25" x14ac:dyDescent="0.25">
      <c r="A108" s="30"/>
      <c r="B108" s="32"/>
      <c r="C108" s="39" t="s">
        <v>139</v>
      </c>
      <c r="D108" s="32"/>
      <c r="E108" s="32"/>
      <c r="F108" s="36">
        <v>0.6</v>
      </c>
    </row>
    <row r="109" spans="1:7" ht="56.25" x14ac:dyDescent="0.25">
      <c r="A109" s="30"/>
      <c r="B109" s="32"/>
      <c r="C109" s="39" t="s">
        <v>140</v>
      </c>
      <c r="D109" s="32"/>
      <c r="E109" s="32"/>
      <c r="F109" s="36">
        <v>0.5</v>
      </c>
    </row>
    <row r="110" spans="1:7" ht="37.5" x14ac:dyDescent="0.25">
      <c r="A110" s="30"/>
      <c r="B110" s="32"/>
      <c r="C110" s="39" t="s">
        <v>141</v>
      </c>
      <c r="D110" s="32"/>
      <c r="E110" s="32"/>
      <c r="F110" s="36">
        <v>0.2</v>
      </c>
    </row>
    <row r="111" spans="1:7" ht="37.5" x14ac:dyDescent="0.25">
      <c r="A111" s="30"/>
      <c r="B111" s="32"/>
      <c r="C111" s="39" t="s">
        <v>142</v>
      </c>
      <c r="D111" s="32"/>
      <c r="E111" s="32"/>
      <c r="F111" s="36">
        <v>0.2</v>
      </c>
    </row>
    <row r="112" spans="1:7" ht="37.5" x14ac:dyDescent="0.25">
      <c r="A112" s="30"/>
      <c r="B112" s="32"/>
      <c r="C112" s="39" t="s">
        <v>143</v>
      </c>
      <c r="D112" s="32"/>
      <c r="E112" s="32"/>
      <c r="F112" s="36">
        <v>0.3</v>
      </c>
    </row>
    <row r="113" spans="1:7" ht="56.25" x14ac:dyDescent="0.25">
      <c r="A113" s="30"/>
      <c r="B113" s="32"/>
      <c r="C113" s="39" t="s">
        <v>144</v>
      </c>
      <c r="D113" s="32"/>
      <c r="E113" s="32"/>
      <c r="F113" s="36">
        <v>0.3</v>
      </c>
    </row>
    <row r="114" spans="1:7" ht="356.25" x14ac:dyDescent="0.25">
      <c r="A114" s="30"/>
      <c r="B114" s="32"/>
      <c r="C114" s="39" t="s">
        <v>145</v>
      </c>
      <c r="D114" s="39" t="s">
        <v>146</v>
      </c>
      <c r="E114" s="32"/>
      <c r="F114" s="36">
        <v>2</v>
      </c>
    </row>
    <row r="115" spans="1:7" ht="37.5" x14ac:dyDescent="0.25">
      <c r="A115" s="30"/>
      <c r="B115" s="32"/>
      <c r="C115" s="39" t="s">
        <v>147</v>
      </c>
      <c r="D115" s="32"/>
      <c r="E115" s="32"/>
      <c r="F115" s="36">
        <v>0.1</v>
      </c>
    </row>
    <row r="116" spans="1:7" ht="37.5" x14ac:dyDescent="0.25">
      <c r="A116" s="30"/>
      <c r="B116" s="32"/>
      <c r="C116" s="39" t="s">
        <v>148</v>
      </c>
      <c r="D116" s="32"/>
      <c r="E116" s="32"/>
      <c r="F116" s="36">
        <v>0.7</v>
      </c>
    </row>
    <row r="117" spans="1:7" ht="37.5" x14ac:dyDescent="0.25">
      <c r="A117" s="30"/>
      <c r="B117" s="32"/>
      <c r="C117" s="39" t="s">
        <v>149</v>
      </c>
      <c r="D117" s="32"/>
      <c r="E117" s="32"/>
      <c r="F117" s="36">
        <v>0.8</v>
      </c>
    </row>
    <row r="118" spans="1:7" ht="37.5" x14ac:dyDescent="0.25">
      <c r="A118" s="30"/>
      <c r="B118" s="32"/>
      <c r="C118" s="39" t="s">
        <v>150</v>
      </c>
      <c r="D118" s="32"/>
      <c r="E118" s="32"/>
      <c r="F118" s="36">
        <v>0.8</v>
      </c>
    </row>
    <row r="119" spans="1:7" ht="37.5" x14ac:dyDescent="0.25">
      <c r="A119" s="30"/>
      <c r="B119" s="32"/>
      <c r="C119" s="39" t="s">
        <v>151</v>
      </c>
      <c r="D119" s="32"/>
      <c r="E119" s="32"/>
      <c r="F119" s="36">
        <v>0.8</v>
      </c>
    </row>
    <row r="120" spans="1:7" ht="37.5" x14ac:dyDescent="0.25">
      <c r="A120" s="30"/>
      <c r="B120" s="32"/>
      <c r="C120" s="39" t="s">
        <v>152</v>
      </c>
      <c r="D120" s="32"/>
      <c r="E120" s="32"/>
      <c r="F120" s="36">
        <v>0.8</v>
      </c>
    </row>
    <row r="121" spans="1:7" ht="37.5" x14ac:dyDescent="0.25">
      <c r="A121" s="43">
        <v>4</v>
      </c>
      <c r="B121" s="45" t="s">
        <v>156</v>
      </c>
      <c r="C121" s="46"/>
      <c r="D121" s="46"/>
      <c r="E121" s="46"/>
      <c r="F121" s="47">
        <f>SUM(F122:F131)</f>
        <v>3.1</v>
      </c>
    </row>
    <row r="122" spans="1:7" ht="18.75" x14ac:dyDescent="0.25">
      <c r="A122" s="43"/>
      <c r="B122" s="46"/>
      <c r="C122" s="48" t="s">
        <v>157</v>
      </c>
      <c r="D122" s="46"/>
      <c r="E122" s="46"/>
      <c r="F122" s="49">
        <v>0.1</v>
      </c>
      <c r="G122" s="49">
        <v>0.1</v>
      </c>
    </row>
    <row r="123" spans="1:7" ht="187.5" x14ac:dyDescent="0.25">
      <c r="A123" s="43"/>
      <c r="B123" s="46"/>
      <c r="C123" s="48" t="s">
        <v>158</v>
      </c>
      <c r="D123" s="46" t="s">
        <v>159</v>
      </c>
      <c r="E123" s="46"/>
      <c r="F123" s="49">
        <v>0.6</v>
      </c>
    </row>
    <row r="124" spans="1:7" ht="56.25" x14ac:dyDescent="0.25">
      <c r="A124" s="43"/>
      <c r="B124" s="46"/>
      <c r="C124" s="48" t="s">
        <v>160</v>
      </c>
      <c r="D124" s="46"/>
      <c r="E124" s="46"/>
      <c r="F124" s="49">
        <v>0.4</v>
      </c>
      <c r="G124" s="49">
        <v>0.4</v>
      </c>
    </row>
    <row r="125" spans="1:7" ht="168.75" x14ac:dyDescent="0.25">
      <c r="A125" s="43"/>
      <c r="B125" s="46"/>
      <c r="C125" s="48" t="s">
        <v>161</v>
      </c>
      <c r="D125" s="46" t="s">
        <v>162</v>
      </c>
      <c r="E125" s="46"/>
      <c r="F125" s="49">
        <v>0.3</v>
      </c>
    </row>
    <row r="126" spans="1:7" ht="18.75" x14ac:dyDescent="0.25">
      <c r="A126" s="43"/>
      <c r="B126" s="46"/>
      <c r="C126" s="48" t="s">
        <v>163</v>
      </c>
      <c r="D126" s="46"/>
      <c r="E126" s="46"/>
      <c r="F126" s="49">
        <v>0.3</v>
      </c>
      <c r="G126" s="49">
        <v>0.3</v>
      </c>
    </row>
    <row r="127" spans="1:7" ht="93.75" x14ac:dyDescent="0.25">
      <c r="A127" s="43"/>
      <c r="B127" s="46"/>
      <c r="C127" s="48" t="s">
        <v>164</v>
      </c>
      <c r="D127" s="46" t="s">
        <v>165</v>
      </c>
      <c r="E127" s="46"/>
      <c r="F127" s="49">
        <v>0.3</v>
      </c>
    </row>
    <row r="128" spans="1:7" ht="131.25" x14ac:dyDescent="0.25">
      <c r="A128" s="43"/>
      <c r="B128" s="46"/>
      <c r="C128" s="48" t="s">
        <v>166</v>
      </c>
      <c r="D128" s="46" t="s">
        <v>167</v>
      </c>
      <c r="E128" s="46"/>
      <c r="F128" s="49">
        <v>0.3</v>
      </c>
    </row>
    <row r="129" spans="1:7" ht="131.25" x14ac:dyDescent="0.25">
      <c r="A129" s="43"/>
      <c r="B129" s="46"/>
      <c r="C129" s="48" t="s">
        <v>168</v>
      </c>
      <c r="D129" s="46" t="s">
        <v>169</v>
      </c>
      <c r="E129" s="46"/>
      <c r="F129" s="49">
        <v>0.4</v>
      </c>
      <c r="G129" s="49">
        <v>0.4</v>
      </c>
    </row>
    <row r="130" spans="1:7" ht="56.25" x14ac:dyDescent="0.25">
      <c r="A130" s="43"/>
      <c r="B130" s="46"/>
      <c r="C130" s="48" t="s">
        <v>170</v>
      </c>
      <c r="D130" s="46" t="s">
        <v>171</v>
      </c>
      <c r="E130" s="46"/>
      <c r="F130" s="49">
        <v>0.2</v>
      </c>
    </row>
    <row r="131" spans="1:7" ht="37.5" x14ac:dyDescent="0.25">
      <c r="A131" s="43"/>
      <c r="B131" s="46"/>
      <c r="C131" s="48" t="s">
        <v>172</v>
      </c>
      <c r="D131" s="46"/>
      <c r="E131" s="46"/>
      <c r="F131" s="49">
        <v>0.2</v>
      </c>
    </row>
    <row r="132" spans="1:7" ht="56.25" x14ac:dyDescent="0.25">
      <c r="A132" s="50">
        <v>5</v>
      </c>
      <c r="B132" s="51" t="s">
        <v>173</v>
      </c>
      <c r="C132" s="52"/>
      <c r="D132" s="52"/>
      <c r="E132" s="52"/>
      <c r="F132" s="53">
        <f>SUM(F133:F142)</f>
        <v>3.3000000000000007</v>
      </c>
    </row>
    <row r="133" spans="1:7" ht="37.5" x14ac:dyDescent="0.25">
      <c r="A133" s="50"/>
      <c r="B133" s="54"/>
      <c r="C133" s="32" t="s">
        <v>153</v>
      </c>
      <c r="D133" s="32" t="s">
        <v>154</v>
      </c>
      <c r="E133" s="32"/>
      <c r="F133" s="36">
        <v>1</v>
      </c>
    </row>
    <row r="134" spans="1:7" ht="37.5" x14ac:dyDescent="0.25">
      <c r="A134" s="50"/>
      <c r="B134" s="98"/>
      <c r="C134" s="32" t="s">
        <v>155</v>
      </c>
      <c r="D134" s="32"/>
      <c r="E134" s="32"/>
      <c r="F134" s="36">
        <v>0.2</v>
      </c>
    </row>
    <row r="135" spans="1:7" ht="37.5" x14ac:dyDescent="0.3">
      <c r="A135" s="55"/>
      <c r="B135" s="56"/>
      <c r="C135" s="57" t="s">
        <v>174</v>
      </c>
      <c r="D135" s="58"/>
      <c r="E135" s="58"/>
      <c r="F135" s="59">
        <v>0.1</v>
      </c>
    </row>
    <row r="136" spans="1:7" ht="37.5" x14ac:dyDescent="0.3">
      <c r="A136" s="55"/>
      <c r="B136" s="56"/>
      <c r="C136" s="57" t="s">
        <v>175</v>
      </c>
      <c r="D136" s="58" t="s">
        <v>176</v>
      </c>
      <c r="E136" s="58"/>
      <c r="F136" s="59">
        <v>0.6</v>
      </c>
    </row>
    <row r="137" spans="1:7" ht="18.75" x14ac:dyDescent="0.3">
      <c r="A137" s="55"/>
      <c r="B137" s="56"/>
      <c r="C137" s="60" t="s">
        <v>177</v>
      </c>
      <c r="D137" s="58"/>
      <c r="E137" s="58"/>
      <c r="F137" s="59">
        <v>0.1</v>
      </c>
    </row>
    <row r="138" spans="1:7" ht="37.5" x14ac:dyDescent="0.3">
      <c r="A138" s="55"/>
      <c r="B138" s="56"/>
      <c r="C138" s="60" t="s">
        <v>178</v>
      </c>
      <c r="D138" s="58" t="s">
        <v>179</v>
      </c>
      <c r="E138" s="58"/>
      <c r="F138" s="59">
        <v>0.2</v>
      </c>
    </row>
    <row r="139" spans="1:7" ht="18.75" x14ac:dyDescent="0.3">
      <c r="A139" s="55"/>
      <c r="B139" s="56"/>
      <c r="C139" s="60" t="s">
        <v>180</v>
      </c>
      <c r="D139" s="58"/>
      <c r="E139" s="58"/>
      <c r="F139" s="59">
        <v>0.2</v>
      </c>
    </row>
    <row r="140" spans="1:7" ht="37.5" x14ac:dyDescent="0.3">
      <c r="A140" s="55"/>
      <c r="B140" s="56"/>
      <c r="C140" s="60" t="s">
        <v>181</v>
      </c>
      <c r="D140" s="58"/>
      <c r="E140" s="58"/>
      <c r="F140" s="59">
        <v>0.5</v>
      </c>
    </row>
    <row r="141" spans="1:7" ht="37.5" x14ac:dyDescent="0.3">
      <c r="A141" s="55"/>
      <c r="B141" s="56"/>
      <c r="C141" s="57" t="s">
        <v>182</v>
      </c>
      <c r="D141" s="58"/>
      <c r="E141" s="58"/>
      <c r="F141" s="59">
        <v>0.2</v>
      </c>
    </row>
    <row r="142" spans="1:7" ht="18.75" x14ac:dyDescent="0.3">
      <c r="A142" s="55"/>
      <c r="B142" s="56"/>
      <c r="C142" s="61" t="s">
        <v>183</v>
      </c>
      <c r="D142" s="62" t="s">
        <v>184</v>
      </c>
      <c r="E142" s="62"/>
      <c r="F142" s="63">
        <v>0.2</v>
      </c>
    </row>
    <row r="143" spans="1:7" ht="56.25" x14ac:dyDescent="0.25">
      <c r="A143" s="50">
        <v>6</v>
      </c>
      <c r="B143" s="31" t="s">
        <v>185</v>
      </c>
      <c r="C143" s="52"/>
      <c r="D143" s="52"/>
      <c r="E143" s="52"/>
      <c r="F143" s="53">
        <f>SUM(F144:F151)</f>
        <v>6.6</v>
      </c>
    </row>
    <row r="144" spans="1:7" ht="18.75" x14ac:dyDescent="0.3">
      <c r="A144" s="55"/>
      <c r="B144" s="56"/>
      <c r="C144" s="60" t="s">
        <v>186</v>
      </c>
      <c r="D144" s="58"/>
      <c r="E144" s="58"/>
      <c r="F144" s="59">
        <v>0.2</v>
      </c>
    </row>
    <row r="145" spans="1:6" ht="37.5" x14ac:dyDescent="0.3">
      <c r="A145" s="55"/>
      <c r="B145" s="56"/>
      <c r="C145" s="60" t="s">
        <v>187</v>
      </c>
      <c r="D145" s="58" t="s">
        <v>188</v>
      </c>
      <c r="E145" s="58"/>
      <c r="F145" s="59">
        <v>1.2</v>
      </c>
    </row>
    <row r="146" spans="1:6" ht="93.75" x14ac:dyDescent="0.3">
      <c r="A146" s="55"/>
      <c r="B146" s="56"/>
      <c r="C146" s="60" t="s">
        <v>189</v>
      </c>
      <c r="D146" s="57" t="s">
        <v>190</v>
      </c>
      <c r="E146" s="58"/>
      <c r="F146" s="59">
        <v>0.5</v>
      </c>
    </row>
    <row r="147" spans="1:6" ht="37.5" x14ac:dyDescent="0.3">
      <c r="A147" s="55"/>
      <c r="B147" s="56"/>
      <c r="C147" s="60" t="s">
        <v>191</v>
      </c>
      <c r="D147" s="58"/>
      <c r="E147" s="58"/>
      <c r="F147" s="59">
        <v>0.4</v>
      </c>
    </row>
    <row r="148" spans="1:6" ht="37.5" x14ac:dyDescent="0.3">
      <c r="A148" s="55"/>
      <c r="B148" s="56"/>
      <c r="C148" s="60" t="s">
        <v>192</v>
      </c>
      <c r="D148" s="58" t="s">
        <v>193</v>
      </c>
      <c r="E148" s="58"/>
      <c r="F148" s="59">
        <v>0.5</v>
      </c>
    </row>
    <row r="149" spans="1:6" ht="18.75" x14ac:dyDescent="0.3">
      <c r="A149" s="55"/>
      <c r="B149" s="56"/>
      <c r="C149" s="60" t="s">
        <v>194</v>
      </c>
      <c r="D149" s="58"/>
      <c r="E149" s="58"/>
      <c r="F149" s="59">
        <v>0.3</v>
      </c>
    </row>
    <row r="150" spans="1:6" ht="56.25" x14ac:dyDescent="0.3">
      <c r="A150" s="55"/>
      <c r="B150" s="56"/>
      <c r="C150" s="61" t="s">
        <v>195</v>
      </c>
      <c r="D150" s="62" t="s">
        <v>196</v>
      </c>
      <c r="E150" s="62"/>
      <c r="F150" s="63">
        <v>2</v>
      </c>
    </row>
    <row r="151" spans="1:6" ht="75" x14ac:dyDescent="0.3">
      <c r="A151" s="55"/>
      <c r="B151" s="56"/>
      <c r="C151" s="61" t="s">
        <v>197</v>
      </c>
      <c r="D151" s="62" t="s">
        <v>196</v>
      </c>
      <c r="E151" s="62"/>
      <c r="F151" s="63">
        <v>1.5</v>
      </c>
    </row>
    <row r="152" spans="1:6" ht="56.25" x14ac:dyDescent="0.25">
      <c r="A152" s="50">
        <v>7</v>
      </c>
      <c r="B152" s="31" t="s">
        <v>198</v>
      </c>
      <c r="C152" s="52"/>
      <c r="D152" s="52"/>
      <c r="E152" s="52"/>
      <c r="F152" s="53">
        <f>SUM(F153:F169)</f>
        <v>7.6000000000000005</v>
      </c>
    </row>
    <row r="153" spans="1:6" ht="18.75" x14ac:dyDescent="0.25">
      <c r="A153" s="30"/>
      <c r="B153" s="32"/>
      <c r="C153" s="64" t="s">
        <v>199</v>
      </c>
      <c r="D153" s="64" t="s">
        <v>200</v>
      </c>
      <c r="E153" s="64"/>
      <c r="F153" s="65">
        <v>1</v>
      </c>
    </row>
    <row r="154" spans="1:6" ht="18.75" x14ac:dyDescent="0.25">
      <c r="A154" s="30"/>
      <c r="B154" s="32"/>
      <c r="C154" s="64" t="s">
        <v>201</v>
      </c>
      <c r="D154" s="64"/>
      <c r="E154" s="64"/>
      <c r="F154" s="65">
        <v>0.2</v>
      </c>
    </row>
    <row r="155" spans="1:6" ht="37.5" x14ac:dyDescent="0.25">
      <c r="A155" s="30"/>
      <c r="B155" s="32"/>
      <c r="C155" s="64" t="s">
        <v>202</v>
      </c>
      <c r="D155" s="64"/>
      <c r="E155" s="64"/>
      <c r="F155" s="65">
        <v>0.2</v>
      </c>
    </row>
    <row r="156" spans="1:6" ht="37.5" x14ac:dyDescent="0.25">
      <c r="A156" s="30"/>
      <c r="B156" s="32"/>
      <c r="C156" s="64" t="s">
        <v>203</v>
      </c>
      <c r="D156" s="64" t="s">
        <v>204</v>
      </c>
      <c r="E156" s="64"/>
      <c r="F156" s="65">
        <v>0.4</v>
      </c>
    </row>
    <row r="157" spans="1:6" ht="18.75" x14ac:dyDescent="0.25">
      <c r="A157" s="30"/>
      <c r="B157" s="32"/>
      <c r="C157" s="64" t="s">
        <v>205</v>
      </c>
      <c r="D157" s="66" t="s">
        <v>206</v>
      </c>
      <c r="E157" s="64"/>
      <c r="F157" s="65">
        <v>0.5</v>
      </c>
    </row>
    <row r="158" spans="1:6" ht="37.5" x14ac:dyDescent="0.25">
      <c r="A158" s="30"/>
      <c r="B158" s="32"/>
      <c r="C158" s="67" t="s">
        <v>207</v>
      </c>
      <c r="D158" s="66" t="s">
        <v>208</v>
      </c>
      <c r="E158" s="64"/>
      <c r="F158" s="65">
        <v>0.5</v>
      </c>
    </row>
    <row r="159" spans="1:6" ht="56.25" x14ac:dyDescent="0.25">
      <c r="A159" s="30"/>
      <c r="B159" s="32"/>
      <c r="C159" s="64" t="s">
        <v>209</v>
      </c>
      <c r="D159" s="64" t="s">
        <v>210</v>
      </c>
      <c r="E159" s="64"/>
      <c r="F159" s="65">
        <v>0.5</v>
      </c>
    </row>
    <row r="160" spans="1:6" ht="56.25" x14ac:dyDescent="0.25">
      <c r="A160" s="30"/>
      <c r="B160" s="32"/>
      <c r="C160" s="64" t="s">
        <v>211</v>
      </c>
      <c r="D160" s="64" t="s">
        <v>212</v>
      </c>
      <c r="E160" s="64"/>
      <c r="F160" s="65">
        <v>0.5</v>
      </c>
    </row>
    <row r="161" spans="1:7" ht="56.25" x14ac:dyDescent="0.25">
      <c r="A161" s="30"/>
      <c r="B161" s="32"/>
      <c r="C161" s="64" t="s">
        <v>213</v>
      </c>
      <c r="D161" s="66" t="s">
        <v>214</v>
      </c>
      <c r="E161" s="64"/>
      <c r="F161" s="65">
        <v>0.5</v>
      </c>
    </row>
    <row r="162" spans="1:7" ht="37.5" x14ac:dyDescent="0.25">
      <c r="A162" s="30"/>
      <c r="B162" s="32"/>
      <c r="C162" s="64" t="s">
        <v>215</v>
      </c>
      <c r="D162" s="64" t="s">
        <v>216</v>
      </c>
      <c r="E162" s="64"/>
      <c r="F162" s="65">
        <v>0.3</v>
      </c>
    </row>
    <row r="163" spans="1:7" ht="37.5" x14ac:dyDescent="0.25">
      <c r="A163" s="30"/>
      <c r="B163" s="32"/>
      <c r="C163" s="67" t="s">
        <v>217</v>
      </c>
      <c r="D163" s="64" t="s">
        <v>218</v>
      </c>
      <c r="E163" s="64"/>
      <c r="F163" s="65">
        <v>0.5</v>
      </c>
    </row>
    <row r="164" spans="1:7" ht="37.5" x14ac:dyDescent="0.25">
      <c r="A164" s="30"/>
      <c r="B164" s="32"/>
      <c r="C164" s="67" t="s">
        <v>219</v>
      </c>
      <c r="D164" s="64" t="s">
        <v>220</v>
      </c>
      <c r="E164" s="64"/>
      <c r="F164" s="65">
        <v>0.5</v>
      </c>
    </row>
    <row r="165" spans="1:7" ht="37.5" x14ac:dyDescent="0.25">
      <c r="A165" s="30"/>
      <c r="B165" s="32" t="s">
        <v>355</v>
      </c>
      <c r="C165" s="67" t="s">
        <v>221</v>
      </c>
      <c r="D165" s="64" t="s">
        <v>222</v>
      </c>
      <c r="E165" s="64"/>
      <c r="F165" s="65">
        <v>1</v>
      </c>
    </row>
    <row r="166" spans="1:7" ht="18.75" x14ac:dyDescent="0.25">
      <c r="A166" s="30"/>
      <c r="B166" s="32"/>
      <c r="C166" s="67" t="s">
        <v>223</v>
      </c>
      <c r="D166" s="64"/>
      <c r="E166" s="64"/>
      <c r="F166" s="65">
        <v>0.2</v>
      </c>
    </row>
    <row r="167" spans="1:7" ht="18.75" x14ac:dyDescent="0.25">
      <c r="A167" s="30"/>
      <c r="B167" s="32"/>
      <c r="C167" s="67" t="s">
        <v>224</v>
      </c>
      <c r="D167" s="66" t="s">
        <v>225</v>
      </c>
      <c r="E167" s="64"/>
      <c r="F167" s="65">
        <v>0.2</v>
      </c>
    </row>
    <row r="168" spans="1:7" ht="37.5" x14ac:dyDescent="0.25">
      <c r="A168" s="30"/>
      <c r="B168" s="32"/>
      <c r="C168" s="67" t="s">
        <v>226</v>
      </c>
      <c r="D168" s="64" t="s">
        <v>227</v>
      </c>
      <c r="E168" s="64"/>
      <c r="F168" s="65">
        <v>0.2</v>
      </c>
    </row>
    <row r="169" spans="1:7" ht="37.5" x14ac:dyDescent="0.3">
      <c r="A169" s="30"/>
      <c r="B169" s="32"/>
      <c r="C169" s="68" t="s">
        <v>228</v>
      </c>
      <c r="D169" s="64" t="s">
        <v>229</v>
      </c>
      <c r="E169" s="64"/>
      <c r="F169" s="65">
        <v>0.4</v>
      </c>
    </row>
    <row r="170" spans="1:7" ht="18.75" x14ac:dyDescent="0.3">
      <c r="A170" s="30">
        <v>8</v>
      </c>
      <c r="B170" s="69" t="s">
        <v>230</v>
      </c>
      <c r="C170" s="70"/>
      <c r="D170" s="70"/>
      <c r="E170" s="70"/>
      <c r="F170" s="34">
        <f>SUM(F171:F202)</f>
        <v>13.699999999999998</v>
      </c>
    </row>
    <row r="171" spans="1:7" ht="37.5" x14ac:dyDescent="0.3">
      <c r="A171" s="30"/>
      <c r="B171" s="71"/>
      <c r="C171" s="38" t="s">
        <v>231</v>
      </c>
      <c r="D171" s="72" t="s">
        <v>232</v>
      </c>
      <c r="E171" s="72"/>
      <c r="F171" s="36">
        <v>1.5</v>
      </c>
      <c r="G171" s="36">
        <v>1.5</v>
      </c>
    </row>
    <row r="172" spans="1:7" ht="56.25" x14ac:dyDescent="0.3">
      <c r="A172" s="30"/>
      <c r="B172" s="71"/>
      <c r="C172" s="38" t="s">
        <v>233</v>
      </c>
      <c r="D172" s="72" t="s">
        <v>234</v>
      </c>
      <c r="E172" s="72"/>
      <c r="F172" s="36">
        <v>1.9</v>
      </c>
      <c r="G172" s="36">
        <v>1.9</v>
      </c>
    </row>
    <row r="173" spans="1:7" ht="37.5" x14ac:dyDescent="0.3">
      <c r="A173" s="30"/>
      <c r="B173" s="71"/>
      <c r="C173" s="38" t="s">
        <v>235</v>
      </c>
      <c r="D173" s="72"/>
      <c r="E173" s="72"/>
      <c r="F173" s="36">
        <v>0.1</v>
      </c>
      <c r="G173" s="36">
        <v>0.1</v>
      </c>
    </row>
    <row r="174" spans="1:7" ht="75" x14ac:dyDescent="0.3">
      <c r="A174" s="30"/>
      <c r="B174" s="71"/>
      <c r="C174" s="38" t="s">
        <v>236</v>
      </c>
      <c r="D174" s="72" t="s">
        <v>234</v>
      </c>
      <c r="E174" s="72"/>
      <c r="F174" s="36">
        <v>1.5</v>
      </c>
      <c r="G174" s="36">
        <v>1.5</v>
      </c>
    </row>
    <row r="175" spans="1:7" ht="56.25" x14ac:dyDescent="0.3">
      <c r="A175" s="30"/>
      <c r="B175" s="71"/>
      <c r="C175" s="38" t="s">
        <v>237</v>
      </c>
      <c r="D175" s="72"/>
      <c r="E175" s="72"/>
      <c r="F175" s="36">
        <v>0.2</v>
      </c>
      <c r="G175" s="36">
        <v>0.2</v>
      </c>
    </row>
    <row r="176" spans="1:7" ht="56.25" x14ac:dyDescent="0.3">
      <c r="A176" s="30"/>
      <c r="B176" s="71"/>
      <c r="C176" s="38" t="s">
        <v>238</v>
      </c>
      <c r="D176" s="72"/>
      <c r="E176" s="72"/>
      <c r="F176" s="36">
        <v>0.4</v>
      </c>
      <c r="G176" s="36">
        <v>0.4</v>
      </c>
    </row>
    <row r="177" spans="1:7" ht="56.25" x14ac:dyDescent="0.3">
      <c r="A177" s="30"/>
      <c r="B177" s="71"/>
      <c r="C177" s="38" t="s">
        <v>239</v>
      </c>
      <c r="D177" s="72"/>
      <c r="E177" s="72"/>
      <c r="F177" s="36">
        <v>1</v>
      </c>
      <c r="G177" s="36">
        <v>1</v>
      </c>
    </row>
    <row r="178" spans="1:7" ht="37.5" x14ac:dyDescent="0.3">
      <c r="A178" s="30"/>
      <c r="B178" s="71"/>
      <c r="C178" s="38" t="s">
        <v>240</v>
      </c>
      <c r="D178" s="72" t="s">
        <v>232</v>
      </c>
      <c r="E178" s="72"/>
      <c r="F178" s="36">
        <v>0.8</v>
      </c>
      <c r="G178" s="36">
        <v>0.8</v>
      </c>
    </row>
    <row r="179" spans="1:7" ht="37.5" x14ac:dyDescent="0.3">
      <c r="A179" s="30"/>
      <c r="B179" s="71"/>
      <c r="C179" s="38" t="s">
        <v>241</v>
      </c>
      <c r="D179" s="72"/>
      <c r="E179" s="72"/>
      <c r="F179" s="36">
        <v>0.5</v>
      </c>
      <c r="G179" s="36">
        <v>0.5</v>
      </c>
    </row>
    <row r="180" spans="1:7" ht="75" x14ac:dyDescent="0.3">
      <c r="A180" s="30"/>
      <c r="B180" s="71"/>
      <c r="C180" s="73"/>
      <c r="D180" s="70" t="s">
        <v>242</v>
      </c>
      <c r="E180" s="70"/>
      <c r="F180" s="74"/>
      <c r="G180" s="74"/>
    </row>
    <row r="181" spans="1:7" ht="75" x14ac:dyDescent="0.3">
      <c r="A181" s="30"/>
      <c r="B181" s="71"/>
      <c r="C181" s="73"/>
      <c r="D181" s="70" t="s">
        <v>243</v>
      </c>
      <c r="E181" s="70"/>
      <c r="F181" s="74"/>
      <c r="G181" s="74"/>
    </row>
    <row r="182" spans="1:7" ht="75" x14ac:dyDescent="0.3">
      <c r="A182" s="30"/>
      <c r="B182" s="71"/>
      <c r="C182" s="73"/>
      <c r="D182" s="70" t="s">
        <v>244</v>
      </c>
      <c r="E182" s="70"/>
      <c r="F182" s="74"/>
      <c r="G182" s="74"/>
    </row>
    <row r="183" spans="1:7" ht="75" x14ac:dyDescent="0.3">
      <c r="A183" s="30"/>
      <c r="B183" s="71"/>
      <c r="C183" s="73"/>
      <c r="D183" s="70" t="s">
        <v>245</v>
      </c>
      <c r="E183" s="70"/>
      <c r="F183" s="74"/>
      <c r="G183" s="74"/>
    </row>
    <row r="184" spans="1:7" ht="93.75" x14ac:dyDescent="0.3">
      <c r="A184" s="30"/>
      <c r="B184" s="71"/>
      <c r="C184" s="73" t="s">
        <v>246</v>
      </c>
      <c r="D184" s="70" t="s">
        <v>247</v>
      </c>
      <c r="E184" s="70"/>
      <c r="F184" s="74">
        <v>0.5</v>
      </c>
      <c r="G184" s="74">
        <v>0.5</v>
      </c>
    </row>
    <row r="185" spans="1:7" ht="18.75" x14ac:dyDescent="0.3">
      <c r="A185" s="30">
        <v>9</v>
      </c>
      <c r="B185" s="69" t="s">
        <v>248</v>
      </c>
      <c r="C185" s="75"/>
      <c r="D185" s="75"/>
      <c r="E185" s="75"/>
      <c r="F185" s="74"/>
    </row>
    <row r="186" spans="1:7" ht="18.75" x14ac:dyDescent="0.3">
      <c r="A186" s="30"/>
      <c r="B186" s="76"/>
      <c r="C186" s="70" t="s">
        <v>249</v>
      </c>
      <c r="D186" s="70"/>
      <c r="E186" s="70"/>
      <c r="F186" s="74">
        <v>0.4</v>
      </c>
      <c r="G186" s="74">
        <v>0.4</v>
      </c>
    </row>
    <row r="187" spans="1:7" ht="18.75" x14ac:dyDescent="0.3">
      <c r="A187" s="30"/>
      <c r="B187" s="76"/>
      <c r="C187" s="70" t="s">
        <v>250</v>
      </c>
      <c r="D187" s="70"/>
      <c r="E187" s="70"/>
      <c r="F187" s="74">
        <v>0.5</v>
      </c>
      <c r="G187" s="74">
        <v>0.5</v>
      </c>
    </row>
    <row r="188" spans="1:7" ht="18.75" x14ac:dyDescent="0.3">
      <c r="A188" s="30"/>
      <c r="B188" s="76"/>
      <c r="C188" s="70" t="s">
        <v>251</v>
      </c>
      <c r="D188" s="70"/>
      <c r="E188" s="70"/>
      <c r="F188" s="74">
        <v>0.5</v>
      </c>
      <c r="G188" s="74">
        <v>0.5</v>
      </c>
    </row>
    <row r="189" spans="1:7" ht="18.75" x14ac:dyDescent="0.3">
      <c r="A189" s="30"/>
      <c r="B189" s="76"/>
      <c r="C189" s="70" t="s">
        <v>252</v>
      </c>
      <c r="D189" s="70"/>
      <c r="E189" s="70"/>
      <c r="F189" s="74">
        <v>0.5</v>
      </c>
      <c r="G189" s="74">
        <v>0.5</v>
      </c>
    </row>
    <row r="190" spans="1:7" ht="18.75" x14ac:dyDescent="0.3">
      <c r="A190" s="30"/>
      <c r="B190" s="76"/>
      <c r="C190" s="70" t="s">
        <v>253</v>
      </c>
      <c r="D190" s="70"/>
      <c r="E190" s="70"/>
      <c r="F190" s="74">
        <v>0.5</v>
      </c>
      <c r="G190" s="74">
        <v>0.5</v>
      </c>
    </row>
    <row r="191" spans="1:7" ht="37.5" x14ac:dyDescent="0.3">
      <c r="A191" s="77">
        <v>10</v>
      </c>
      <c r="B191" s="78" t="s">
        <v>297</v>
      </c>
      <c r="C191" s="79"/>
      <c r="D191" s="80"/>
      <c r="E191" s="80"/>
      <c r="F191" s="81"/>
    </row>
    <row r="192" spans="1:7" ht="56.25" x14ac:dyDescent="0.3">
      <c r="A192" s="77"/>
      <c r="B192" s="82"/>
      <c r="C192" s="57" t="s">
        <v>298</v>
      </c>
      <c r="D192" s="83" t="s">
        <v>299</v>
      </c>
      <c r="E192" s="84"/>
      <c r="F192" s="85">
        <v>0.4</v>
      </c>
      <c r="G192" s="85">
        <v>0.4</v>
      </c>
    </row>
    <row r="193" spans="1:7" ht="112.5" x14ac:dyDescent="0.3">
      <c r="A193" s="77"/>
      <c r="B193" s="82"/>
      <c r="C193" s="57" t="s">
        <v>300</v>
      </c>
      <c r="D193" s="83" t="s">
        <v>301</v>
      </c>
      <c r="E193" s="84" t="s">
        <v>302</v>
      </c>
      <c r="F193" s="85">
        <v>0.25</v>
      </c>
      <c r="G193" s="85">
        <v>0.25</v>
      </c>
    </row>
    <row r="194" spans="1:7" ht="93.75" x14ac:dyDescent="0.3">
      <c r="A194" s="86"/>
      <c r="B194" s="87"/>
      <c r="C194" s="60" t="s">
        <v>303</v>
      </c>
      <c r="D194" s="88"/>
      <c r="E194" s="89" t="s">
        <v>304</v>
      </c>
      <c r="F194" s="90">
        <v>0.2</v>
      </c>
      <c r="G194" s="90">
        <v>0.2</v>
      </c>
    </row>
    <row r="195" spans="1:7" ht="56.25" x14ac:dyDescent="0.3">
      <c r="A195" s="86"/>
      <c r="B195" s="87"/>
      <c r="C195" s="60" t="s">
        <v>305</v>
      </c>
      <c r="D195" s="89"/>
      <c r="E195" s="89" t="s">
        <v>306</v>
      </c>
      <c r="F195" s="90">
        <v>0.2</v>
      </c>
      <c r="G195" s="90">
        <v>0.2</v>
      </c>
    </row>
    <row r="196" spans="1:7" ht="75" x14ac:dyDescent="0.3">
      <c r="A196" s="86"/>
      <c r="B196" s="87"/>
      <c r="C196" s="60" t="s">
        <v>307</v>
      </c>
      <c r="D196" s="89"/>
      <c r="E196" s="89"/>
      <c r="F196" s="90">
        <v>0.4</v>
      </c>
      <c r="G196" s="90">
        <v>0.4</v>
      </c>
    </row>
    <row r="197" spans="1:7" ht="37.5" x14ac:dyDescent="0.3">
      <c r="A197" s="86"/>
      <c r="B197" s="87"/>
      <c r="C197" s="60" t="s">
        <v>308</v>
      </c>
      <c r="D197" s="89"/>
      <c r="E197" s="89"/>
      <c r="F197" s="90">
        <v>0.2</v>
      </c>
      <c r="G197" s="90">
        <v>0.2</v>
      </c>
    </row>
    <row r="198" spans="1:7" ht="56.25" x14ac:dyDescent="0.3">
      <c r="A198" s="86"/>
      <c r="B198" s="87"/>
      <c r="C198" s="60" t="s">
        <v>309</v>
      </c>
      <c r="D198" s="89"/>
      <c r="E198" s="60" t="s">
        <v>310</v>
      </c>
      <c r="F198" s="90">
        <v>0.2</v>
      </c>
      <c r="G198" s="90">
        <v>0.2</v>
      </c>
    </row>
    <row r="199" spans="1:7" ht="37.5" x14ac:dyDescent="0.3">
      <c r="A199" s="86"/>
      <c r="B199" s="87"/>
      <c r="C199" s="60" t="s">
        <v>311</v>
      </c>
      <c r="D199" s="89"/>
      <c r="E199" s="60" t="s">
        <v>312</v>
      </c>
      <c r="F199" s="90">
        <v>0.2</v>
      </c>
      <c r="G199" s="90">
        <v>0.2</v>
      </c>
    </row>
    <row r="200" spans="1:7" ht="75" x14ac:dyDescent="0.3">
      <c r="A200" s="86"/>
      <c r="B200" s="87"/>
      <c r="C200" s="60" t="s">
        <v>313</v>
      </c>
      <c r="D200" s="89"/>
      <c r="E200" s="60" t="s">
        <v>314</v>
      </c>
      <c r="F200" s="90">
        <v>0.25</v>
      </c>
      <c r="G200" s="90">
        <v>0.25</v>
      </c>
    </row>
    <row r="201" spans="1:7" ht="37.5" x14ac:dyDescent="0.3">
      <c r="A201" s="86"/>
      <c r="B201" s="87"/>
      <c r="C201" s="60" t="s">
        <v>315</v>
      </c>
      <c r="D201" s="89"/>
      <c r="E201" s="60" t="s">
        <v>316</v>
      </c>
      <c r="F201" s="90">
        <v>0.4</v>
      </c>
      <c r="G201" s="90">
        <v>0.4</v>
      </c>
    </row>
    <row r="202" spans="1:7" ht="56.25" x14ac:dyDescent="0.3">
      <c r="A202" s="86"/>
      <c r="B202" s="87"/>
      <c r="C202" s="60" t="s">
        <v>317</v>
      </c>
      <c r="D202" s="89"/>
      <c r="E202" s="60" t="s">
        <v>306</v>
      </c>
      <c r="F202" s="90">
        <v>0.2</v>
      </c>
      <c r="G202" s="90">
        <v>0.2</v>
      </c>
    </row>
    <row r="203" spans="1:7" ht="37.5" x14ac:dyDescent="0.3">
      <c r="A203" s="30">
        <v>11</v>
      </c>
      <c r="B203" s="91" t="s">
        <v>254</v>
      </c>
      <c r="C203" s="92"/>
      <c r="D203" s="70"/>
      <c r="E203" s="70"/>
      <c r="F203" s="34">
        <f>SUM(F204:F218)</f>
        <v>6.1</v>
      </c>
    </row>
    <row r="204" spans="1:7" ht="56.25" x14ac:dyDescent="0.3">
      <c r="A204" s="30"/>
      <c r="B204" s="96"/>
      <c r="C204" s="75" t="s">
        <v>255</v>
      </c>
      <c r="D204" s="70"/>
      <c r="E204" s="70"/>
      <c r="F204" s="74">
        <v>0.5</v>
      </c>
    </row>
    <row r="205" spans="1:7" ht="37.5" x14ac:dyDescent="0.3">
      <c r="A205" s="30"/>
      <c r="B205" s="30"/>
      <c r="C205" s="75" t="s">
        <v>256</v>
      </c>
      <c r="D205" s="70"/>
      <c r="E205" s="70"/>
      <c r="F205" s="74">
        <v>0.2</v>
      </c>
    </row>
    <row r="206" spans="1:7" ht="18.75" x14ac:dyDescent="0.3">
      <c r="A206" s="30"/>
      <c r="B206" s="30"/>
      <c r="C206" s="75" t="s">
        <v>257</v>
      </c>
      <c r="D206" s="70"/>
      <c r="E206" s="70"/>
      <c r="F206" s="74">
        <v>0.1</v>
      </c>
    </row>
    <row r="207" spans="1:7" ht="37.5" x14ac:dyDescent="0.3">
      <c r="A207" s="30"/>
      <c r="B207" s="30"/>
      <c r="C207" s="75" t="s">
        <v>318</v>
      </c>
      <c r="D207" s="70"/>
      <c r="E207" s="70"/>
      <c r="F207" s="74">
        <v>0.5</v>
      </c>
    </row>
    <row r="208" spans="1:7" ht="18.75" x14ac:dyDescent="0.3">
      <c r="A208" s="30"/>
      <c r="B208" s="30"/>
      <c r="C208" s="75" t="s">
        <v>258</v>
      </c>
      <c r="D208" s="70"/>
      <c r="E208" s="70"/>
      <c r="F208" s="74">
        <v>0.3</v>
      </c>
    </row>
    <row r="209" spans="1:23" ht="37.5" x14ac:dyDescent="0.3">
      <c r="A209" s="30"/>
      <c r="B209" s="30"/>
      <c r="C209" s="93" t="s">
        <v>319</v>
      </c>
      <c r="D209" s="94"/>
      <c r="E209" s="94"/>
      <c r="F209" s="95">
        <v>0.4</v>
      </c>
    </row>
    <row r="210" spans="1:23" ht="37.5" x14ac:dyDescent="0.3">
      <c r="A210" s="30"/>
      <c r="B210" s="30"/>
      <c r="C210" s="93" t="s">
        <v>320</v>
      </c>
      <c r="D210" s="94"/>
      <c r="E210" s="94"/>
      <c r="F210" s="95">
        <v>0.2</v>
      </c>
    </row>
    <row r="211" spans="1:23" ht="93.75" x14ac:dyDescent="0.3">
      <c r="A211" s="30"/>
      <c r="B211" s="30"/>
      <c r="C211" s="93" t="s">
        <v>321</v>
      </c>
      <c r="D211" s="94" t="s">
        <v>322</v>
      </c>
      <c r="E211" s="94"/>
      <c r="F211" s="95">
        <v>0.5</v>
      </c>
    </row>
    <row r="212" spans="1:23" ht="18.75" x14ac:dyDescent="0.3">
      <c r="A212" s="30"/>
      <c r="B212" s="30"/>
      <c r="C212" s="93" t="s">
        <v>323</v>
      </c>
      <c r="D212" s="94"/>
      <c r="E212" s="94"/>
      <c r="F212" s="95">
        <v>0.3</v>
      </c>
    </row>
    <row r="213" spans="1:23" ht="18.75" x14ac:dyDescent="0.3">
      <c r="A213" s="30"/>
      <c r="B213" s="30"/>
      <c r="C213" s="93" t="s">
        <v>324</v>
      </c>
      <c r="D213" s="94"/>
      <c r="E213" s="94"/>
      <c r="F213" s="95">
        <v>0.2</v>
      </c>
    </row>
    <row r="214" spans="1:23" ht="18.75" x14ac:dyDescent="0.3">
      <c r="A214" s="30"/>
      <c r="B214" s="30"/>
      <c r="C214" s="93" t="s">
        <v>325</v>
      </c>
      <c r="D214" s="94"/>
      <c r="E214" s="94"/>
      <c r="F214" s="95">
        <v>0.4</v>
      </c>
    </row>
    <row r="215" spans="1:23" ht="56.25" x14ac:dyDescent="0.3">
      <c r="A215" s="30"/>
      <c r="B215" s="30"/>
      <c r="C215" s="75" t="s">
        <v>326</v>
      </c>
      <c r="D215" s="70" t="s">
        <v>259</v>
      </c>
      <c r="E215" s="70"/>
      <c r="F215" s="74">
        <v>0.5</v>
      </c>
    </row>
    <row r="216" spans="1:23" ht="93.75" x14ac:dyDescent="0.3">
      <c r="A216" s="30"/>
      <c r="B216" s="30"/>
      <c r="C216" s="75" t="s">
        <v>260</v>
      </c>
      <c r="D216" s="70" t="s">
        <v>261</v>
      </c>
      <c r="E216" s="70"/>
      <c r="F216" s="74">
        <v>1</v>
      </c>
    </row>
    <row r="217" spans="1:23" ht="56.25" x14ac:dyDescent="0.3">
      <c r="A217" s="30"/>
      <c r="B217" s="30"/>
      <c r="C217" s="75" t="s">
        <v>327</v>
      </c>
      <c r="D217" s="70"/>
      <c r="E217" s="70"/>
      <c r="F217" s="74">
        <v>0.5</v>
      </c>
    </row>
    <row r="218" spans="1:23" ht="18.75" x14ac:dyDescent="0.3">
      <c r="A218" s="30"/>
      <c r="B218" s="30"/>
      <c r="C218" s="75" t="s">
        <v>262</v>
      </c>
      <c r="D218" s="70"/>
      <c r="E218" s="70"/>
      <c r="F218" s="74">
        <v>0.5</v>
      </c>
    </row>
    <row r="219" spans="1:23" x14ac:dyDescent="0.25">
      <c r="A219" s="15"/>
      <c r="B219" s="15"/>
      <c r="C219" s="10"/>
      <c r="D219" s="7"/>
      <c r="E219" s="7"/>
      <c r="F219" s="8"/>
    </row>
    <row r="220" spans="1:23" ht="18.75" x14ac:dyDescent="0.25">
      <c r="A220" s="14" t="s">
        <v>263</v>
      </c>
      <c r="B220" s="123" t="s">
        <v>264</v>
      </c>
      <c r="C220" s="124"/>
      <c r="D220" s="124"/>
      <c r="E220" s="124"/>
      <c r="F220" s="99">
        <f>SUM(F221:F230)</f>
        <v>7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8.75" x14ac:dyDescent="0.25">
      <c r="A221" s="15">
        <v>1</v>
      </c>
      <c r="B221" s="31" t="s">
        <v>265</v>
      </c>
      <c r="C221" s="32"/>
      <c r="D221" s="32"/>
      <c r="E221" s="32"/>
      <c r="F221" s="36"/>
    </row>
    <row r="222" spans="1:23" ht="56.25" x14ac:dyDescent="0.3">
      <c r="A222" s="15"/>
      <c r="B222" s="76" t="s">
        <v>357</v>
      </c>
      <c r="C222" s="35" t="s">
        <v>266</v>
      </c>
      <c r="D222" s="70" t="s">
        <v>267</v>
      </c>
      <c r="E222" s="32"/>
      <c r="F222" s="36">
        <v>0.5</v>
      </c>
      <c r="G222" s="36">
        <v>0.5</v>
      </c>
    </row>
    <row r="223" spans="1:23" ht="56.25" x14ac:dyDescent="0.3">
      <c r="A223" s="15"/>
      <c r="B223" s="76"/>
      <c r="C223" s="73" t="s">
        <v>268</v>
      </c>
      <c r="D223" s="70" t="s">
        <v>267</v>
      </c>
      <c r="E223" s="32"/>
      <c r="F223" s="36">
        <v>1</v>
      </c>
      <c r="G223" s="36">
        <v>1</v>
      </c>
    </row>
    <row r="224" spans="1:23" ht="56.25" x14ac:dyDescent="0.3">
      <c r="A224" s="15"/>
      <c r="B224" s="76"/>
      <c r="C224" s="35" t="s">
        <v>269</v>
      </c>
      <c r="D224" s="70" t="s">
        <v>267</v>
      </c>
      <c r="E224" s="32"/>
      <c r="F224" s="36">
        <v>0.5</v>
      </c>
      <c r="G224" s="36">
        <v>0.5</v>
      </c>
    </row>
    <row r="225" spans="1:23" ht="18.75" x14ac:dyDescent="0.25">
      <c r="A225" s="15">
        <v>2</v>
      </c>
      <c r="B225" s="31" t="s">
        <v>270</v>
      </c>
      <c r="C225" s="32"/>
      <c r="D225" s="32"/>
      <c r="E225" s="32"/>
      <c r="F225" s="99">
        <f>SUM(F226:F230)</f>
        <v>2.5</v>
      </c>
    </row>
    <row r="226" spans="1:23" ht="56.25" x14ac:dyDescent="0.3">
      <c r="A226" s="15"/>
      <c r="B226" s="76" t="s">
        <v>357</v>
      </c>
      <c r="C226" s="32" t="s">
        <v>271</v>
      </c>
      <c r="D226" s="70" t="s">
        <v>272</v>
      </c>
      <c r="E226" s="32"/>
      <c r="F226" s="36">
        <v>0.5</v>
      </c>
      <c r="G226" s="36">
        <v>0.5</v>
      </c>
    </row>
    <row r="227" spans="1:23" ht="56.25" x14ac:dyDescent="0.3">
      <c r="A227" s="15"/>
      <c r="B227" s="76" t="s">
        <v>358</v>
      </c>
      <c r="C227" s="32" t="s">
        <v>273</v>
      </c>
      <c r="D227" s="70" t="s">
        <v>272</v>
      </c>
      <c r="E227" s="32"/>
      <c r="F227" s="36">
        <v>0.5</v>
      </c>
      <c r="G227" s="36">
        <v>0.5</v>
      </c>
    </row>
    <row r="228" spans="1:23" ht="56.25" x14ac:dyDescent="0.3">
      <c r="A228" s="15"/>
      <c r="B228" s="76"/>
      <c r="C228" s="32" t="s">
        <v>274</v>
      </c>
      <c r="D228" s="70" t="s">
        <v>272</v>
      </c>
      <c r="E228" s="32"/>
      <c r="F228" s="36">
        <v>0.5</v>
      </c>
      <c r="G228" s="36">
        <v>0.5</v>
      </c>
    </row>
    <row r="229" spans="1:23" ht="56.25" x14ac:dyDescent="0.3">
      <c r="A229" s="15"/>
      <c r="B229" s="76"/>
      <c r="C229" s="32" t="s">
        <v>275</v>
      </c>
      <c r="D229" s="70" t="s">
        <v>272</v>
      </c>
      <c r="E229" s="32"/>
      <c r="F229" s="36">
        <v>0.5</v>
      </c>
      <c r="G229" s="36">
        <v>0.5</v>
      </c>
    </row>
    <row r="230" spans="1:23" ht="56.25" x14ac:dyDescent="0.3">
      <c r="A230" s="15"/>
      <c r="B230" s="76"/>
      <c r="C230" s="32" t="s">
        <v>276</v>
      </c>
      <c r="D230" s="70" t="s">
        <v>272</v>
      </c>
      <c r="E230" s="32"/>
      <c r="F230" s="36">
        <v>0.5</v>
      </c>
      <c r="G230" s="36">
        <v>0.5</v>
      </c>
    </row>
    <row r="231" spans="1:23" ht="18.75" x14ac:dyDescent="0.25">
      <c r="A231" s="14" t="s">
        <v>277</v>
      </c>
      <c r="B231" s="123" t="s">
        <v>278</v>
      </c>
      <c r="C231" s="124"/>
      <c r="D231" s="124"/>
      <c r="E231" s="124"/>
      <c r="F231" s="99">
        <f>SUM(F232:F267)</f>
        <v>18.299999999999997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8.75" x14ac:dyDescent="0.25">
      <c r="A232" s="15">
        <v>1</v>
      </c>
      <c r="B232" s="31" t="s">
        <v>279</v>
      </c>
      <c r="C232" s="32"/>
      <c r="D232" s="32"/>
      <c r="E232" s="32"/>
      <c r="F232" s="36"/>
    </row>
    <row r="233" spans="1:23" ht="37.5" x14ac:dyDescent="0.25">
      <c r="A233" s="15"/>
      <c r="B233" s="32"/>
      <c r="C233" s="35" t="s">
        <v>280</v>
      </c>
      <c r="D233" s="32"/>
      <c r="E233" s="32"/>
      <c r="F233" s="36">
        <v>0.2</v>
      </c>
    </row>
    <row r="234" spans="1:23" ht="18.75" x14ac:dyDescent="0.25">
      <c r="A234" s="15"/>
      <c r="B234" s="32"/>
      <c r="C234" s="35" t="s">
        <v>281</v>
      </c>
      <c r="D234" s="32"/>
      <c r="E234" s="32"/>
      <c r="F234" s="36">
        <v>0.2</v>
      </c>
    </row>
    <row r="235" spans="1:23" ht="18.75" x14ac:dyDescent="0.25">
      <c r="A235" s="15"/>
      <c r="B235" s="32"/>
      <c r="C235" s="35" t="s">
        <v>282</v>
      </c>
      <c r="D235" s="32"/>
      <c r="E235" s="32"/>
      <c r="F235" s="36">
        <v>0.2</v>
      </c>
    </row>
    <row r="236" spans="1:23" ht="18.75" x14ac:dyDescent="0.25">
      <c r="A236" s="15"/>
      <c r="B236" s="32"/>
      <c r="C236" s="35" t="s">
        <v>283</v>
      </c>
      <c r="D236" s="32"/>
      <c r="E236" s="32"/>
      <c r="F236" s="36">
        <v>0.2</v>
      </c>
    </row>
    <row r="237" spans="1:23" ht="18.75" x14ac:dyDescent="0.25">
      <c r="A237" s="15"/>
      <c r="B237" s="32"/>
      <c r="C237" s="35" t="s">
        <v>284</v>
      </c>
      <c r="D237" s="32"/>
      <c r="E237" s="32"/>
      <c r="F237" s="36">
        <v>0.2</v>
      </c>
    </row>
    <row r="238" spans="1:23" ht="56.25" x14ac:dyDescent="0.3">
      <c r="A238" s="15"/>
      <c r="B238" s="32"/>
      <c r="C238" s="35" t="s">
        <v>285</v>
      </c>
      <c r="D238" s="70" t="s">
        <v>267</v>
      </c>
      <c r="E238" s="32"/>
      <c r="F238" s="36">
        <v>0.2</v>
      </c>
    </row>
    <row r="239" spans="1:23" ht="56.25" x14ac:dyDescent="0.3">
      <c r="A239" s="15"/>
      <c r="B239" s="32"/>
      <c r="C239" s="35" t="s">
        <v>286</v>
      </c>
      <c r="D239" s="70" t="s">
        <v>267</v>
      </c>
      <c r="E239" s="32"/>
      <c r="F239" s="36">
        <v>0.2</v>
      </c>
    </row>
    <row r="240" spans="1:23" ht="56.25" x14ac:dyDescent="0.3">
      <c r="A240" s="15"/>
      <c r="B240" s="32"/>
      <c r="C240" s="35" t="s">
        <v>287</v>
      </c>
      <c r="D240" s="70" t="s">
        <v>267</v>
      </c>
      <c r="E240" s="32"/>
      <c r="F240" s="36">
        <v>0.2</v>
      </c>
    </row>
    <row r="241" spans="1:6" ht="56.25" x14ac:dyDescent="0.3">
      <c r="A241" s="15"/>
      <c r="B241" s="32"/>
      <c r="C241" s="35" t="s">
        <v>288</v>
      </c>
      <c r="D241" s="70" t="s">
        <v>267</v>
      </c>
      <c r="E241" s="32"/>
      <c r="F241" s="36">
        <v>0.2</v>
      </c>
    </row>
    <row r="242" spans="1:6" ht="56.25" x14ac:dyDescent="0.3">
      <c r="A242" s="15"/>
      <c r="B242" s="32"/>
      <c r="C242" s="35" t="s">
        <v>289</v>
      </c>
      <c r="D242" s="70" t="s">
        <v>267</v>
      </c>
      <c r="E242" s="32"/>
      <c r="F242" s="36">
        <v>0.2</v>
      </c>
    </row>
    <row r="243" spans="1:6" ht="56.25" x14ac:dyDescent="0.3">
      <c r="A243" s="15"/>
      <c r="B243" s="54"/>
      <c r="C243" s="35" t="s">
        <v>290</v>
      </c>
      <c r="D243" s="70" t="s">
        <v>267</v>
      </c>
      <c r="E243" s="32"/>
      <c r="F243" s="36">
        <v>0.5</v>
      </c>
    </row>
    <row r="244" spans="1:6" ht="37.5" x14ac:dyDescent="0.3">
      <c r="A244" s="17">
        <v>2</v>
      </c>
      <c r="B244" s="100" t="s">
        <v>329</v>
      </c>
      <c r="C244" s="101"/>
      <c r="D244" s="102"/>
      <c r="E244" s="103"/>
      <c r="F244" s="104">
        <f>SUM(F245:F267)</f>
        <v>7.8999999999999995</v>
      </c>
    </row>
    <row r="245" spans="1:6" ht="56.25" x14ac:dyDescent="0.3">
      <c r="A245" s="19"/>
      <c r="B245" s="105"/>
      <c r="C245" s="101" t="s">
        <v>330</v>
      </c>
      <c r="D245" s="101"/>
      <c r="E245" s="103"/>
      <c r="F245" s="106">
        <v>0.2</v>
      </c>
    </row>
    <row r="246" spans="1:6" ht="56.25" x14ac:dyDescent="0.3">
      <c r="A246" s="18"/>
      <c r="B246" s="101"/>
      <c r="C246" s="101" t="s">
        <v>331</v>
      </c>
      <c r="D246" s="101"/>
      <c r="E246" s="103"/>
      <c r="F246" s="107">
        <v>0.1</v>
      </c>
    </row>
    <row r="247" spans="1:6" ht="37.5" x14ac:dyDescent="0.3">
      <c r="A247" s="18"/>
      <c r="B247" s="101"/>
      <c r="C247" s="101" t="s">
        <v>332</v>
      </c>
      <c r="D247" s="101"/>
      <c r="E247" s="103"/>
      <c r="F247" s="107">
        <v>0.2</v>
      </c>
    </row>
    <row r="248" spans="1:6" ht="56.25" x14ac:dyDescent="0.3">
      <c r="A248" s="18"/>
      <c r="B248" s="101"/>
      <c r="C248" s="101" t="s">
        <v>333</v>
      </c>
      <c r="D248" s="101"/>
      <c r="E248" s="103"/>
      <c r="F248" s="107">
        <v>0.1</v>
      </c>
    </row>
    <row r="249" spans="1:6" ht="18.75" x14ac:dyDescent="0.3">
      <c r="A249" s="17"/>
      <c r="B249" s="101"/>
      <c r="C249" s="101" t="s">
        <v>334</v>
      </c>
      <c r="D249" s="101"/>
      <c r="E249" s="103"/>
      <c r="F249" s="106">
        <v>0.2</v>
      </c>
    </row>
    <row r="250" spans="1:6" ht="56.25" x14ac:dyDescent="0.3">
      <c r="A250" s="17"/>
      <c r="B250" s="101" t="s">
        <v>359</v>
      </c>
      <c r="C250" s="101" t="s">
        <v>335</v>
      </c>
      <c r="D250" s="101"/>
      <c r="E250" s="103"/>
      <c r="F250" s="106">
        <v>1</v>
      </c>
    </row>
    <row r="251" spans="1:6" ht="56.25" x14ac:dyDescent="0.3">
      <c r="A251" s="17"/>
      <c r="B251" s="101" t="s">
        <v>360</v>
      </c>
      <c r="C251" s="101" t="s">
        <v>336</v>
      </c>
      <c r="D251" s="101"/>
      <c r="E251" s="103"/>
      <c r="F251" s="106">
        <v>0.5</v>
      </c>
    </row>
    <row r="252" spans="1:6" ht="56.25" x14ac:dyDescent="0.3">
      <c r="A252" s="17"/>
      <c r="B252" s="102"/>
      <c r="C252" s="101" t="s">
        <v>337</v>
      </c>
      <c r="D252" s="102"/>
      <c r="E252" s="103"/>
      <c r="F252" s="106">
        <v>0.3</v>
      </c>
    </row>
    <row r="253" spans="1:6" ht="18.75" x14ac:dyDescent="0.3">
      <c r="A253" s="17"/>
      <c r="B253" s="101"/>
      <c r="C253" s="101"/>
      <c r="D253" s="101" t="s">
        <v>338</v>
      </c>
      <c r="E253" s="103"/>
      <c r="F253" s="106"/>
    </row>
    <row r="254" spans="1:6" ht="18.75" x14ac:dyDescent="0.3">
      <c r="A254" s="18"/>
      <c r="B254" s="101"/>
      <c r="C254" s="101"/>
      <c r="D254" s="101" t="s">
        <v>339</v>
      </c>
      <c r="E254" s="103"/>
      <c r="F254" s="107"/>
    </row>
    <row r="255" spans="1:6" ht="37.5" x14ac:dyDescent="0.3">
      <c r="A255" s="18"/>
      <c r="B255" s="101"/>
      <c r="C255" s="101"/>
      <c r="D255" s="101" t="s">
        <v>340</v>
      </c>
      <c r="E255" s="103"/>
      <c r="F255" s="107"/>
    </row>
    <row r="256" spans="1:6" ht="37.5" x14ac:dyDescent="0.3">
      <c r="A256" s="18"/>
      <c r="B256" s="101"/>
      <c r="C256" s="101"/>
      <c r="D256" s="101" t="s">
        <v>341</v>
      </c>
      <c r="E256" s="103"/>
      <c r="F256" s="107"/>
    </row>
    <row r="257" spans="1:7" ht="18.75" x14ac:dyDescent="0.3">
      <c r="A257" s="17"/>
      <c r="B257" s="101"/>
      <c r="C257" s="101" t="s">
        <v>342</v>
      </c>
      <c r="D257" s="101"/>
      <c r="E257" s="103"/>
      <c r="F257" s="106">
        <v>0.3</v>
      </c>
    </row>
    <row r="258" spans="1:7" ht="18.75" x14ac:dyDescent="0.3">
      <c r="A258" s="17"/>
      <c r="B258" s="102"/>
      <c r="C258" s="101"/>
      <c r="D258" s="102" t="s">
        <v>338</v>
      </c>
      <c r="E258" s="103"/>
      <c r="F258" s="106"/>
    </row>
    <row r="259" spans="1:7" ht="56.25" x14ac:dyDescent="0.3">
      <c r="A259" s="17"/>
      <c r="B259" s="101"/>
      <c r="C259" s="101"/>
      <c r="D259" s="101" t="s">
        <v>343</v>
      </c>
      <c r="E259" s="103"/>
      <c r="F259" s="106"/>
    </row>
    <row r="260" spans="1:7" ht="56.25" x14ac:dyDescent="0.3">
      <c r="A260" s="18"/>
      <c r="B260" s="101"/>
      <c r="C260" s="101"/>
      <c r="D260" s="101" t="s">
        <v>344</v>
      </c>
      <c r="E260" s="103"/>
      <c r="F260" s="107"/>
    </row>
    <row r="261" spans="1:7" ht="75" x14ac:dyDescent="0.3">
      <c r="A261" s="18"/>
      <c r="B261" s="101"/>
      <c r="C261" s="101"/>
      <c r="D261" s="101" t="s">
        <v>345</v>
      </c>
      <c r="E261" s="103"/>
      <c r="F261" s="107"/>
    </row>
    <row r="262" spans="1:7" ht="37.5" x14ac:dyDescent="0.3">
      <c r="A262" s="20">
        <v>6</v>
      </c>
      <c r="B262" s="108" t="s">
        <v>346</v>
      </c>
      <c r="C262" s="109"/>
      <c r="D262" s="109"/>
      <c r="E262" s="109"/>
      <c r="F262" s="110">
        <f>SUM(F263:F267)</f>
        <v>2.5</v>
      </c>
    </row>
    <row r="263" spans="1:7" ht="37.5" x14ac:dyDescent="0.3">
      <c r="A263" s="21"/>
      <c r="B263" s="109"/>
      <c r="C263" s="109" t="s">
        <v>347</v>
      </c>
      <c r="D263" s="109"/>
      <c r="E263" s="109"/>
      <c r="F263" s="111">
        <v>0.5</v>
      </c>
      <c r="G263" s="111">
        <v>0.5</v>
      </c>
    </row>
    <row r="264" spans="1:7" ht="37.5" x14ac:dyDescent="0.3">
      <c r="A264" s="21"/>
      <c r="B264" s="109"/>
      <c r="C264" s="109" t="s">
        <v>348</v>
      </c>
      <c r="D264" s="109"/>
      <c r="E264" s="109"/>
      <c r="F264" s="111">
        <v>0.5</v>
      </c>
      <c r="G264" s="111">
        <v>0.5</v>
      </c>
    </row>
    <row r="265" spans="1:7" ht="37.5" x14ac:dyDescent="0.3">
      <c r="A265" s="21"/>
      <c r="B265" s="109"/>
      <c r="C265" s="109" t="s">
        <v>349</v>
      </c>
      <c r="D265" s="109"/>
      <c r="E265" s="109"/>
      <c r="F265" s="111">
        <v>0.5</v>
      </c>
      <c r="G265" s="111">
        <v>0.5</v>
      </c>
    </row>
    <row r="266" spans="1:7" ht="37.5" x14ac:dyDescent="0.3">
      <c r="A266" s="21"/>
      <c r="B266" s="109"/>
      <c r="C266" s="109" t="s">
        <v>350</v>
      </c>
      <c r="D266" s="109"/>
      <c r="E266" s="109"/>
      <c r="F266" s="111">
        <v>0.5</v>
      </c>
      <c r="G266" s="111">
        <v>0.5</v>
      </c>
    </row>
    <row r="267" spans="1:7" ht="37.5" x14ac:dyDescent="0.3">
      <c r="A267" s="21"/>
      <c r="B267" s="109"/>
      <c r="C267" s="109" t="s">
        <v>351</v>
      </c>
      <c r="D267" s="109"/>
      <c r="E267" s="109"/>
      <c r="F267" s="111">
        <v>0.5</v>
      </c>
      <c r="G267" s="111">
        <v>0.5</v>
      </c>
    </row>
    <row r="268" spans="1:7" ht="18.75" x14ac:dyDescent="0.3">
      <c r="A268" s="15"/>
      <c r="B268" s="54"/>
      <c r="C268" s="112"/>
      <c r="D268" s="113"/>
      <c r="E268" s="67"/>
      <c r="F268" s="114"/>
    </row>
    <row r="269" spans="1:7" ht="18.75" x14ac:dyDescent="0.3">
      <c r="A269" s="16"/>
      <c r="B269" s="115"/>
      <c r="C269" s="115"/>
      <c r="D269" s="115"/>
      <c r="E269" s="116" t="s">
        <v>291</v>
      </c>
      <c r="F269" s="117">
        <f>F231+F220+F55+F6</f>
        <v>61.50000000000005</v>
      </c>
      <c r="G269" s="120">
        <f>SUM(G1:G267)</f>
        <v>36.799999999999997</v>
      </c>
    </row>
    <row r="270" spans="1:7" x14ac:dyDescent="0.25">
      <c r="A270" s="12"/>
    </row>
    <row r="271" spans="1:7" x14ac:dyDescent="0.25">
      <c r="A271" s="12"/>
    </row>
    <row r="272" spans="1:7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</sheetData>
  <mergeCells count="4">
    <mergeCell ref="B6:E6"/>
    <mergeCell ref="B55:E55"/>
    <mergeCell ref="B220:E220"/>
    <mergeCell ref="B231:E231"/>
  </mergeCells>
  <pageMargins left="0.7" right="0.7" top="0.75" bottom="0.75" header="0" footer="0"/>
  <pageSetup paperSize="9" scale="6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8" sqref="C8"/>
    </sheetView>
  </sheetViews>
  <sheetFormatPr defaultColWidth="11.125" defaultRowHeight="15" customHeight="1" x14ac:dyDescent="0.25"/>
  <cols>
    <col min="1" max="1" width="8.5" style="1" customWidth="1"/>
    <col min="2" max="2" width="44.125" style="1" customWidth="1"/>
    <col min="3" max="26" width="8.5" style="1" customWidth="1"/>
    <col min="27" max="16384" width="11.125" style="1"/>
  </cols>
  <sheetData>
    <row r="1" spans="1:2" ht="27.75" customHeight="1" x14ac:dyDescent="0.25">
      <c r="A1" s="125" t="s">
        <v>292</v>
      </c>
      <c r="B1" s="126"/>
    </row>
    <row r="2" spans="1:2" ht="15.75" customHeight="1" x14ac:dyDescent="0.25">
      <c r="A2" s="11">
        <v>1</v>
      </c>
      <c r="B2" s="9" t="s">
        <v>352</v>
      </c>
    </row>
    <row r="3" spans="1:2" ht="15.75" customHeight="1" x14ac:dyDescent="0.25">
      <c r="A3" s="11">
        <v>2</v>
      </c>
      <c r="B3" s="9" t="s">
        <v>293</v>
      </c>
    </row>
    <row r="4" spans="1:2" ht="15.75" customHeight="1" x14ac:dyDescent="0.25">
      <c r="A4" s="11">
        <v>3</v>
      </c>
      <c r="B4" s="7" t="s">
        <v>294</v>
      </c>
    </row>
    <row r="5" spans="1:2" ht="15.75" customHeight="1" x14ac:dyDescent="0.25">
      <c r="A5" s="11">
        <v>4</v>
      </c>
      <c r="B5" s="9" t="s">
        <v>73</v>
      </c>
    </row>
    <row r="6" spans="1:2" ht="15.75" customHeight="1" x14ac:dyDescent="0.25">
      <c r="A6" s="11">
        <v>5</v>
      </c>
      <c r="B6" s="9" t="s">
        <v>295</v>
      </c>
    </row>
    <row r="7" spans="1:2" ht="15.75" customHeight="1" x14ac:dyDescent="0.25">
      <c r="A7" s="11">
        <v>6</v>
      </c>
      <c r="B7" s="7" t="s">
        <v>353</v>
      </c>
    </row>
    <row r="8" spans="1:2" ht="15.75" customHeight="1" x14ac:dyDescent="0.25">
      <c r="A8" s="22">
        <v>7</v>
      </c>
      <c r="B8" s="23" t="s">
        <v>296</v>
      </c>
    </row>
    <row r="9" spans="1:2" ht="15.75" customHeight="1" x14ac:dyDescent="0.25">
      <c r="B9" s="2"/>
    </row>
    <row r="10" spans="1:2" ht="15.75" customHeight="1" x14ac:dyDescent="0.25">
      <c r="B10" s="2"/>
    </row>
    <row r="11" spans="1:2" ht="15.75" customHeight="1" x14ac:dyDescent="0.25">
      <c r="B11" s="2"/>
    </row>
    <row r="12" spans="1:2" ht="15.75" customHeight="1" x14ac:dyDescent="0.25">
      <c r="A12" s="1" t="s">
        <v>354</v>
      </c>
      <c r="B12" s="2"/>
    </row>
    <row r="13" spans="1:2" ht="15.75" customHeight="1" x14ac:dyDescent="0.25">
      <c r="B13" s="2"/>
    </row>
    <row r="14" spans="1:2" ht="15.75" customHeight="1" x14ac:dyDescent="0.25">
      <c r="B14" s="2"/>
    </row>
    <row r="15" spans="1:2" ht="15.75" customHeight="1" x14ac:dyDescent="0.25">
      <c r="B15" s="2"/>
    </row>
    <row r="16" spans="1:2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111 111</cp:lastModifiedBy>
  <cp:revision>1</cp:revision>
  <cp:lastPrinted>2025-05-24T12:09:36Z</cp:lastPrinted>
  <dcterms:created xsi:type="dcterms:W3CDTF">2022-11-09T22:53:43Z</dcterms:created>
  <dcterms:modified xsi:type="dcterms:W3CDTF">2026-02-10T12:42:45Z</dcterms:modified>
</cp:coreProperties>
</file>